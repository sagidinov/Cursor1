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ерерасход" sheetId="1" state="visible" r:id="rId1"/>
    <sheet name="По арендаторам" sheetId="2" state="visible" r:id="rId2"/>
    <sheet name="Как считалось" sheetId="3" state="visible" r:id="rId3"/>
  </sheets>
  <definedNames>
    <definedName name="_xlnm.Print_Titles" localSheetId="0">'Перерасход'!$1:$7</definedName>
    <definedName name="_xlnm.Print_Area" localSheetId="0">'Перерасход'!$A$1:$K$56</definedName>
    <definedName name="_xlnm._FilterDatabase" localSheetId="1" hidden="1">'По арендаторам'!$A$4:$M$67</definedName>
    <definedName name="_xlnm.Print_Titles" localSheetId="1">'По арендаторам'!$1:$4</definedName>
    <definedName name="_xlnm.Print_Area" localSheetId="1">'По арендаторам'!$A$1:$M$71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B3A4B"/>
      <sz val="20"/>
    </font>
    <font>
      <name val="Calibri"/>
      <color rgb="001C2833"/>
      <sz val="11"/>
    </font>
    <font>
      <name val="Calibri"/>
      <color rgb="005E6A75"/>
      <sz val="11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1C2833"/>
      <sz val="11"/>
    </font>
    <font>
      <name val="Calibri"/>
      <b val="1"/>
      <color rgb="001B3A4B"/>
      <sz val="11"/>
    </font>
    <font>
      <name val="Calibri"/>
      <b val="1"/>
      <color rgb="001B3A4B"/>
      <sz val="12"/>
    </font>
    <font>
      <name val="Calibri"/>
      <color rgb="001C2833"/>
      <sz val="10"/>
    </font>
    <font>
      <name val="Calibri"/>
      <b val="1"/>
      <color rgb="001B3A4B"/>
      <sz val="18"/>
    </font>
    <font>
      <name val="Calibri"/>
      <b val="1"/>
      <color rgb="001C2833"/>
      <sz val="10"/>
    </font>
    <font>
      <name val="Calibri"/>
      <color rgb="001C2833"/>
      <sz val="12"/>
    </font>
  </fonts>
  <fills count="16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8A4B2F"/>
      </patternFill>
    </fill>
    <fill>
      <patternFill patternType="solid">
        <fgColor rgb="001F4E79"/>
      </patternFill>
    </fill>
    <fill>
      <patternFill patternType="solid">
        <fgColor rgb="000E6B6B"/>
      </patternFill>
    </fill>
    <fill>
      <patternFill patternType="solid">
        <fgColor rgb="00FFFFFF"/>
      </patternFill>
    </fill>
    <fill>
      <patternFill patternType="solid">
        <fgColor rgb="00E6EEF5"/>
      </patternFill>
    </fill>
    <fill>
      <patternFill patternType="solid">
        <fgColor rgb="00F4F7F8"/>
      </patternFill>
    </fill>
    <fill>
      <patternFill patternType="solid">
        <fgColor rgb="00FFF6E8"/>
      </patternFill>
    </fill>
    <fill>
      <patternFill patternType="solid">
        <fgColor rgb="003D4F5F"/>
      </patternFill>
    </fill>
    <fill>
      <patternFill patternType="solid">
        <fgColor rgb="00355C7D"/>
      </patternFill>
    </fill>
    <fill>
      <patternFill patternType="solid">
        <fgColor rgb="006B3A2A"/>
      </patternFill>
    </fill>
    <fill>
      <patternFill patternType="solid">
        <fgColor rgb="00F8F1EA"/>
      </patternFill>
    </fill>
    <fill>
      <patternFill patternType="solid">
        <fgColor rgb="00EAF1F8"/>
      </patternFill>
    </fill>
    <fill>
      <patternFill patternType="solid">
        <fgColor rgb="00E7F4F4"/>
      </patternFill>
    </fill>
  </fills>
  <borders count="3">
    <border>
      <left/>
      <right/>
      <top/>
      <bottom/>
      <diagonal/>
    </border>
    <border>
      <left style="thin">
        <color rgb="00D5DDE3"/>
      </left>
      <right style="thin">
        <color rgb="00D5DDE3"/>
      </right>
      <top style="thin">
        <color rgb="00D5DDE3"/>
      </top>
      <bottom style="thin">
        <color rgb="00D5DDE3"/>
      </bottom>
    </border>
    <border>
      <left style="thin">
        <color rgb="00D5DDE3"/>
      </left>
      <right style="thin">
        <color rgb="00D5DDE3"/>
      </right>
      <top style="thin">
        <color rgb="00D5DDE3"/>
      </top>
      <bottom style="medium">
        <color rgb="001B3A4B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indent="1"/>
    </xf>
    <xf numFmtId="4" fontId="2" fillId="6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0" fillId="0" borderId="0" pivotButton="0" quotePrefix="0" xfId="0"/>
    <xf numFmtId="0" fontId="9" fillId="7" borderId="2" applyAlignment="1" pivotButton="0" quotePrefix="0" xfId="0">
      <alignment horizontal="left" vertical="center" indent="1"/>
    </xf>
    <xf numFmtId="4" fontId="9" fillId="7" borderId="2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 indent="1"/>
    </xf>
    <xf numFmtId="4" fontId="2" fillId="8" borderId="1" applyAlignment="1" pivotButton="0" quotePrefix="0" xfId="0">
      <alignment horizontal="right" vertical="center"/>
    </xf>
    <xf numFmtId="4" fontId="8" fillId="8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 indent="1"/>
    </xf>
    <xf numFmtId="4" fontId="2" fillId="9" borderId="1" applyAlignment="1" pivotButton="0" quotePrefix="0" xfId="0">
      <alignment horizontal="right" vertical="center"/>
    </xf>
    <xf numFmtId="4" fontId="8" fillId="9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 indent="1"/>
    </xf>
    <xf numFmtId="4" fontId="5" fillId="2" borderId="1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left" vertical="center" indent="1"/>
    </xf>
    <xf numFmtId="0" fontId="11" fillId="13" borderId="1" applyAlignment="1" pivotButton="0" quotePrefix="0" xfId="0">
      <alignment horizontal="left" vertical="center" indent="1"/>
    </xf>
    <xf numFmtId="4" fontId="11" fillId="13" borderId="1" applyAlignment="1" pivotButton="0" quotePrefix="0" xfId="0">
      <alignment horizontal="right" vertical="center"/>
    </xf>
    <xf numFmtId="0" fontId="11" fillId="13" borderId="1" applyAlignment="1" pivotButton="0" quotePrefix="0" xfId="0">
      <alignment horizontal="right" vertical="center"/>
    </xf>
    <xf numFmtId="4" fontId="13" fillId="13" borderId="1" applyAlignment="1" pivotButton="0" quotePrefix="0" xfId="0">
      <alignment horizontal="right" vertical="center"/>
    </xf>
    <xf numFmtId="0" fontId="13" fillId="14" borderId="1" applyAlignment="1" pivotButton="0" quotePrefix="0" xfId="0">
      <alignment horizontal="left" vertical="center" indent="1"/>
    </xf>
    <xf numFmtId="0" fontId="11" fillId="14" borderId="1" applyAlignment="1" pivotButton="0" quotePrefix="0" xfId="0">
      <alignment horizontal="left" vertical="center" indent="1"/>
    </xf>
    <xf numFmtId="4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right" vertical="center"/>
    </xf>
    <xf numFmtId="4" fontId="13" fillId="14" borderId="1" applyAlignment="1" pivotButton="0" quotePrefix="0" xfId="0">
      <alignment horizontal="right" vertical="center"/>
    </xf>
    <xf numFmtId="0" fontId="13" fillId="15" borderId="1" applyAlignment="1" pivotButton="0" quotePrefix="0" xfId="0">
      <alignment horizontal="left" vertical="center" indent="1"/>
    </xf>
    <xf numFmtId="0" fontId="11" fillId="15" borderId="1" applyAlignment="1" pivotButton="0" quotePrefix="0" xfId="0">
      <alignment horizontal="left" vertical="center" indent="1"/>
    </xf>
    <xf numFmtId="4" fontId="11" fillId="15" borderId="1" applyAlignment="1" pivotButton="0" quotePrefix="0" xfId="0">
      <alignment horizontal="right" vertical="center"/>
    </xf>
    <xf numFmtId="0" fontId="11" fillId="15" borderId="1" applyAlignment="1" pivotButton="0" quotePrefix="0" xfId="0">
      <alignment horizontal="right" vertical="center"/>
    </xf>
    <xf numFmtId="4" fontId="13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indent="1"/>
    </xf>
    <xf numFmtId="4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indent="1"/>
    </xf>
    <xf numFmtId="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4" fontId="6" fillId="5" borderId="1" applyAlignment="1" pivotButton="0" quotePrefix="0" xfId="0">
      <alignment horizontal="right" vertical="center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3B2E"/>
      </font>
    </dxf>
    <dxf>
      <font>
        <name val="Calibri"/>
        <b val="1"/>
        <color rgb="001E7A4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Перерасход,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'Перерасход'!N7</f>
            </strRef>
          </tx>
          <spPr>
            <a:solidFill>
              <a:srgbClr val="8A4B2F"/>
            </a:solidFill>
            <a:ln>
              <a:prstDash val="solid"/>
            </a:ln>
          </spPr>
          <cat>
            <numRef>
              <f>'Перерасход'!$M$8:$M$28</f>
            </numRef>
          </cat>
          <val>
            <numRef>
              <f>'Перерасход'!$N$8:$N$28</f>
            </numRef>
          </val>
        </ser>
        <ser>
          <idx val="1"/>
          <order val="1"/>
          <tx>
            <strRef>
              <f>'Перерасход'!O7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'Перерасход'!$M$8:$M$28</f>
            </numRef>
          </cat>
          <val>
            <numRef>
              <f>'Перерасход'!$O$8:$O$28</f>
            </numRef>
          </val>
        </ser>
        <ser>
          <idx val="2"/>
          <order val="2"/>
          <tx>
            <strRef>
              <f>'Перерасход'!P7</f>
            </strRef>
          </tx>
          <spPr>
            <a:solidFill>
              <a:srgbClr val="0E6B6B"/>
            </a:solidFill>
            <a:ln>
              <a:prstDash val="solid"/>
            </a:ln>
          </spPr>
          <cat>
            <numRef>
              <f>'Перерасход'!$M$8:$M$28</f>
            </numRef>
          </cat>
          <val>
            <numRef>
              <f>'Перерасход'!$P$8:$P$28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Расчёт</author>
  </authors>
  <commentList>
    <comment ref="I25" authorId="0" shapeId="0">
      <text>
        <t>В исходнике вода «Люкс» = 1 555 ₽ (E280). В соседних месяцах у Люкса около 222 ₽.</t>
      </text>
    </comment>
    <comment ref="I27" authorId="0" shapeId="0">
      <text>
        <t>Вода Сбера, Люкса и Чижика задана формулами: 65359−свет, 16340−свет, 70726−свет.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0" zoomScale="11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1" t="inlineStr">
        <is>
          <t>Костюкова. Перерасход по месяцам</t>
        </is>
      </c>
    </row>
    <row r="2" ht="32" customHeight="1">
      <c r="A2" s="2" t="inlineStr">
        <is>
          <t>Лист «Костюкова расчет», файл «май Коммуналка 2026». Отопление — строка «Тепло». Свет — счёт за электричество, отдельной строки «электричество» нет.</t>
        </is>
      </c>
    </row>
    <row r="3" ht="32" customHeight="1">
      <c r="A3" s="2" t="inlineStr">
        <is>
          <t>Перерасход = колонка «Оплата» (общий расход) − сумма арендаторов. Это же значение стоит в колонке «Не возмещаемое». Берлизов А. и Хрисанов А. в арендаторы не входят: у них распределение этого долга.</t>
        </is>
      </c>
    </row>
    <row r="4" ht="34" customHeight="1">
      <c r="A4" s="3" t="inlineStr">
        <is>
          <t>Годы проставлены по порядку блоков: первый «Декабрь» — декабрь 2024, дальше без пропусков до августа 2026. Плюс — общий счёт больше суммы арендаторов. Минус — арендаторы закрыли больше, чем выставлен общий счёт. С мая по сентябрь отопление в исходнике равно нулю.</t>
        </is>
      </c>
    </row>
    <row r="6" ht="22" customHeight="1">
      <c r="A6" s="4" t="inlineStr">
        <is>
          <t>Месяц</t>
        </is>
      </c>
      <c r="B6" s="5" t="inlineStr">
        <is>
          <t>Отопление, ₽</t>
        </is>
      </c>
      <c r="C6" s="6" t="n"/>
      <c r="D6" s="6" t="n"/>
      <c r="E6" s="7" t="inlineStr">
        <is>
          <t>Свет (электричество), ₽</t>
        </is>
      </c>
      <c r="F6" s="8" t="n"/>
      <c r="G6" s="8" t="n"/>
      <c r="H6" s="9" t="inlineStr">
        <is>
          <t>Вода, ₽</t>
        </is>
      </c>
      <c r="I6" s="10" t="n"/>
      <c r="J6" s="10" t="n"/>
      <c r="K6" s="11" t="inlineStr">
        <is>
          <t>Все ресурсы</t>
        </is>
      </c>
    </row>
    <row r="7" ht="30" customHeight="1">
      <c r="A7" s="12" t="n"/>
      <c r="B7" s="13" t="inlineStr">
        <is>
          <t>Общий расход</t>
        </is>
      </c>
      <c r="C7" s="13" t="inlineStr">
        <is>
          <t>Арендаторы</t>
        </is>
      </c>
      <c r="D7" s="13" t="inlineStr">
        <is>
          <t>Перерасход</t>
        </is>
      </c>
      <c r="E7" s="14" t="inlineStr">
        <is>
          <t>Общий расход</t>
        </is>
      </c>
      <c r="F7" s="14" t="inlineStr">
        <is>
          <t>Арендаторы</t>
        </is>
      </c>
      <c r="G7" s="14" t="inlineStr">
        <is>
          <t>Перерасход</t>
        </is>
      </c>
      <c r="H7" s="15" t="inlineStr">
        <is>
          <t>Общий расход</t>
        </is>
      </c>
      <c r="I7" s="15" t="inlineStr">
        <is>
          <t>Арендаторы</t>
        </is>
      </c>
      <c r="J7" s="15" t="inlineStr">
        <is>
          <t>Перерасход</t>
        </is>
      </c>
      <c r="K7" s="16" t="inlineStr">
        <is>
          <t>Перерасход всего</t>
        </is>
      </c>
      <c r="M7" t="inlineStr">
        <is>
          <t>Месяц</t>
        </is>
      </c>
      <c r="N7" t="inlineStr">
        <is>
          <t>Отопление</t>
        </is>
      </c>
      <c r="O7" t="inlineStr">
        <is>
          <t>Свет</t>
        </is>
      </c>
      <c r="P7" t="inlineStr">
        <is>
          <t>Вода</t>
        </is>
      </c>
    </row>
    <row r="8" ht="20" customHeight="1">
      <c r="A8" s="17" t="inlineStr">
        <is>
          <t>Декабрь 2024</t>
        </is>
      </c>
      <c r="B8" s="18" t="n">
        <v>43586</v>
      </c>
      <c r="C8" s="18" t="n">
        <v>56257</v>
      </c>
      <c r="D8" s="19" t="n">
        <v>-12671</v>
      </c>
      <c r="E8" s="18" t="n">
        <v>87738</v>
      </c>
      <c r="F8" s="18" t="n">
        <v>52425</v>
      </c>
      <c r="G8" s="19" t="n">
        <v>35313</v>
      </c>
      <c r="H8" s="18" t="n">
        <v>503</v>
      </c>
      <c r="I8" s="18" t="n">
        <v>1258</v>
      </c>
      <c r="J8" s="19" t="n">
        <v>-755</v>
      </c>
      <c r="K8" s="19" t="n">
        <v>21887</v>
      </c>
      <c r="M8" t="inlineStr">
        <is>
          <t>Декабрь 2024</t>
        </is>
      </c>
      <c r="N8" s="20" t="n">
        <v>-12671</v>
      </c>
      <c r="O8" s="20" t="n">
        <v>35313</v>
      </c>
      <c r="P8" s="20" t="n">
        <v>-755</v>
      </c>
    </row>
    <row r="9" ht="22" customHeight="1">
      <c r="A9" s="21" t="inlineStr">
        <is>
          <t>Итого 2024</t>
        </is>
      </c>
      <c r="B9" s="22" t="n">
        <v>43586</v>
      </c>
      <c r="C9" s="22" t="n">
        <v>56257</v>
      </c>
      <c r="D9" s="22" t="n">
        <v>-12671</v>
      </c>
      <c r="E9" s="22" t="n">
        <v>87738</v>
      </c>
      <c r="F9" s="22" t="n">
        <v>52425</v>
      </c>
      <c r="G9" s="22" t="n">
        <v>35313</v>
      </c>
      <c r="H9" s="22" t="n">
        <v>503</v>
      </c>
      <c r="I9" s="22" t="n">
        <v>1258</v>
      </c>
      <c r="J9" s="22" t="n">
        <v>-755</v>
      </c>
      <c r="K9" s="22" t="n">
        <v>21887</v>
      </c>
      <c r="M9" t="inlineStr">
        <is>
          <t>Январь 2025</t>
        </is>
      </c>
      <c r="N9" s="20" t="n">
        <v>31906</v>
      </c>
      <c r="O9" s="20" t="n">
        <v>18083</v>
      </c>
      <c r="P9" s="20" t="n">
        <v>-656</v>
      </c>
    </row>
    <row r="10" ht="20" customHeight="1">
      <c r="A10" s="17" t="inlineStr">
        <is>
          <t>Январь 2025</t>
        </is>
      </c>
      <c r="B10" s="18" t="n">
        <v>72562</v>
      </c>
      <c r="C10" s="18" t="n">
        <v>40656</v>
      </c>
      <c r="D10" s="19" t="n">
        <v>31906</v>
      </c>
      <c r="E10" s="18" t="n">
        <v>80782</v>
      </c>
      <c r="F10" s="18" t="n">
        <v>62699</v>
      </c>
      <c r="G10" s="19" t="n">
        <v>18083</v>
      </c>
      <c r="H10" s="18" t="n">
        <v>0</v>
      </c>
      <c r="I10" s="18" t="n">
        <v>656</v>
      </c>
      <c r="J10" s="19" t="n">
        <v>-656</v>
      </c>
      <c r="K10" s="19" t="n">
        <v>49333</v>
      </c>
      <c r="M10" t="inlineStr">
        <is>
          <t>Февраль 2025</t>
        </is>
      </c>
      <c r="N10" s="20" t="n">
        <v>32589</v>
      </c>
      <c r="O10" s="20" t="n">
        <v>2226</v>
      </c>
      <c r="P10" s="20" t="n">
        <v>1312</v>
      </c>
    </row>
    <row r="11" ht="20" customHeight="1">
      <c r="A11" s="23" t="inlineStr">
        <is>
          <t>Февраль 2025</t>
        </is>
      </c>
      <c r="B11" s="24" t="n">
        <v>76996</v>
      </c>
      <c r="C11" s="24" t="n">
        <v>44407</v>
      </c>
      <c r="D11" s="25" t="n">
        <v>32589</v>
      </c>
      <c r="E11" s="24" t="n">
        <v>85526</v>
      </c>
      <c r="F11" s="24" t="n">
        <v>83300</v>
      </c>
      <c r="G11" s="25" t="n">
        <v>2226</v>
      </c>
      <c r="H11" s="24" t="n">
        <v>4156</v>
      </c>
      <c r="I11" s="24" t="n">
        <v>2844</v>
      </c>
      <c r="J11" s="25" t="n">
        <v>1312</v>
      </c>
      <c r="K11" s="25" t="n">
        <v>36127</v>
      </c>
      <c r="M11" t="inlineStr">
        <is>
          <t>Март 2025</t>
        </is>
      </c>
      <c r="N11" s="20" t="n">
        <v>23914</v>
      </c>
      <c r="O11" s="20" t="n">
        <v>5882</v>
      </c>
      <c r="P11" s="20" t="n">
        <v>3609</v>
      </c>
    </row>
    <row r="12" ht="20" customHeight="1">
      <c r="A12" s="17" t="inlineStr">
        <is>
          <t>Март 2025</t>
        </is>
      </c>
      <c r="B12" s="18" t="n">
        <v>59309</v>
      </c>
      <c r="C12" s="18" t="n">
        <v>35395</v>
      </c>
      <c r="D12" s="19" t="n">
        <v>23914</v>
      </c>
      <c r="E12" s="18" t="n">
        <v>71086</v>
      </c>
      <c r="F12" s="18" t="n">
        <v>65204</v>
      </c>
      <c r="G12" s="19" t="n">
        <v>5882</v>
      </c>
      <c r="H12" s="18" t="n">
        <v>5687</v>
      </c>
      <c r="I12" s="18" t="n">
        <v>2078</v>
      </c>
      <c r="J12" s="19" t="n">
        <v>3609</v>
      </c>
      <c r="K12" s="19" t="n">
        <v>33405</v>
      </c>
      <c r="M12" t="inlineStr">
        <is>
          <t>Апрель 2025</t>
        </is>
      </c>
      <c r="N12" s="20" t="n">
        <v>5644</v>
      </c>
      <c r="O12" s="20" t="n">
        <v>3278</v>
      </c>
      <c r="P12" s="20" t="n">
        <v>1203</v>
      </c>
    </row>
    <row r="13" ht="20" customHeight="1">
      <c r="A13" s="23" t="inlineStr">
        <is>
          <t>Апрель 2025</t>
        </is>
      </c>
      <c r="B13" s="24" t="n">
        <v>13917</v>
      </c>
      <c r="C13" s="24" t="n">
        <v>8273</v>
      </c>
      <c r="D13" s="25" t="n">
        <v>5644</v>
      </c>
      <c r="E13" s="24" t="n">
        <v>69650</v>
      </c>
      <c r="F13" s="24" t="n">
        <v>66372</v>
      </c>
      <c r="G13" s="25" t="n">
        <v>3278</v>
      </c>
      <c r="H13" s="24" t="n">
        <v>3827</v>
      </c>
      <c r="I13" s="24" t="n">
        <v>2624</v>
      </c>
      <c r="J13" s="25" t="n">
        <v>1203</v>
      </c>
      <c r="K13" s="25" t="n">
        <v>10125</v>
      </c>
      <c r="M13" t="inlineStr">
        <is>
          <t>Май 2025</t>
        </is>
      </c>
      <c r="N13" s="20" t="n">
        <v>0</v>
      </c>
      <c r="O13" s="20" t="n">
        <v>3368</v>
      </c>
      <c r="P13" s="20" t="n">
        <v>1659</v>
      </c>
    </row>
    <row r="14" ht="20" customHeight="1">
      <c r="A14" s="17" t="inlineStr">
        <is>
          <t>Май 2025</t>
        </is>
      </c>
      <c r="B14" s="18" t="n">
        <v>0</v>
      </c>
      <c r="C14" s="18" t="n">
        <v>0</v>
      </c>
      <c r="D14" s="19" t="n">
        <v>0</v>
      </c>
      <c r="E14" s="18" t="n">
        <v>57170</v>
      </c>
      <c r="F14" s="18" t="n">
        <v>53802</v>
      </c>
      <c r="G14" s="19" t="n">
        <v>3368</v>
      </c>
      <c r="H14" s="18" t="n">
        <v>3190</v>
      </c>
      <c r="I14" s="18" t="n">
        <v>1531</v>
      </c>
      <c r="J14" s="19" t="n">
        <v>1659</v>
      </c>
      <c r="K14" s="19" t="n">
        <v>5027</v>
      </c>
      <c r="M14" t="inlineStr">
        <is>
          <t>Июнь 2025</t>
        </is>
      </c>
      <c r="N14" s="20" t="n">
        <v>0</v>
      </c>
      <c r="O14" s="20" t="n">
        <v>7225</v>
      </c>
      <c r="P14" s="20" t="n">
        <v>109</v>
      </c>
    </row>
    <row r="15" ht="20" customHeight="1">
      <c r="A15" s="23" t="inlineStr">
        <is>
          <t>Июнь 2025</t>
        </is>
      </c>
      <c r="B15" s="24" t="n">
        <v>0</v>
      </c>
      <c r="C15" s="24" t="n">
        <v>0</v>
      </c>
      <c r="D15" s="25" t="n">
        <v>0</v>
      </c>
      <c r="E15" s="24" t="n">
        <v>65413</v>
      </c>
      <c r="F15" s="24" t="n">
        <v>58188</v>
      </c>
      <c r="G15" s="25" t="n">
        <v>7225</v>
      </c>
      <c r="H15" s="24" t="n">
        <v>2187</v>
      </c>
      <c r="I15" s="24" t="n">
        <v>2078</v>
      </c>
      <c r="J15" s="25" t="n">
        <v>109</v>
      </c>
      <c r="K15" s="25" t="n">
        <v>7334</v>
      </c>
      <c r="M15" t="inlineStr">
        <is>
          <t>Июль 2025</t>
        </is>
      </c>
      <c r="N15" s="20" t="n">
        <v>0</v>
      </c>
      <c r="O15" s="20" t="n">
        <v>10014</v>
      </c>
      <c r="P15" s="20" t="n">
        <v>1202.9</v>
      </c>
    </row>
    <row r="16" ht="20" customHeight="1">
      <c r="A16" s="17" t="inlineStr">
        <is>
          <t>Июль 2025</t>
        </is>
      </c>
      <c r="B16" s="18" t="n">
        <v>0</v>
      </c>
      <c r="C16" s="18" t="n">
        <v>0</v>
      </c>
      <c r="D16" s="19" t="n">
        <v>0</v>
      </c>
      <c r="E16" s="18" t="n">
        <v>77716</v>
      </c>
      <c r="F16" s="18" t="n">
        <v>67702</v>
      </c>
      <c r="G16" s="19" t="n">
        <v>10014</v>
      </c>
      <c r="H16" s="18" t="n">
        <v>2733.9</v>
      </c>
      <c r="I16" s="18" t="n">
        <v>1531</v>
      </c>
      <c r="J16" s="19" t="n">
        <v>1202.9</v>
      </c>
      <c r="K16" s="19" t="n">
        <v>11216.9</v>
      </c>
      <c r="M16" t="inlineStr">
        <is>
          <t>Август 2025</t>
        </is>
      </c>
      <c r="N16" s="20" t="n">
        <v>0</v>
      </c>
      <c r="O16" s="20" t="n">
        <v>7152</v>
      </c>
      <c r="P16" s="20" t="n">
        <v>1093.9</v>
      </c>
    </row>
    <row r="17" ht="20" customHeight="1">
      <c r="A17" s="23" t="inlineStr">
        <is>
          <t>Август 2025</t>
        </is>
      </c>
      <c r="B17" s="24" t="n">
        <v>0</v>
      </c>
      <c r="C17" s="24" t="n">
        <v>0</v>
      </c>
      <c r="D17" s="25" t="n">
        <v>0</v>
      </c>
      <c r="E17" s="24" t="n">
        <v>109691</v>
      </c>
      <c r="F17" s="24" t="n">
        <v>102539</v>
      </c>
      <c r="G17" s="25" t="n">
        <v>7152</v>
      </c>
      <c r="H17" s="24" t="n">
        <v>2733.9</v>
      </c>
      <c r="I17" s="24" t="n">
        <v>1640</v>
      </c>
      <c r="J17" s="25" t="n">
        <v>1093.9</v>
      </c>
      <c r="K17" s="25" t="n">
        <v>8245.9</v>
      </c>
      <c r="M17" t="inlineStr">
        <is>
          <t>Сентябрь 2025</t>
        </is>
      </c>
      <c r="N17" s="20" t="n">
        <v>0</v>
      </c>
      <c r="O17" s="20" t="n">
        <v>-602.11</v>
      </c>
      <c r="P17" s="20" t="n">
        <v>218.9</v>
      </c>
    </row>
    <row r="18" ht="20" customHeight="1">
      <c r="A18" s="17" t="inlineStr">
        <is>
          <t>Сентябрь 2025</t>
        </is>
      </c>
      <c r="B18" s="18" t="n">
        <v>0</v>
      </c>
      <c r="C18" s="18" t="n">
        <v>0</v>
      </c>
      <c r="D18" s="19" t="n">
        <v>0</v>
      </c>
      <c r="E18" s="18" t="n">
        <v>81090</v>
      </c>
      <c r="F18" s="18" t="n">
        <v>81692.11</v>
      </c>
      <c r="G18" s="19" t="n">
        <v>-602.11</v>
      </c>
      <c r="H18" s="18" t="n">
        <v>2733.9</v>
      </c>
      <c r="I18" s="18" t="n">
        <v>2515</v>
      </c>
      <c r="J18" s="19" t="n">
        <v>218.9</v>
      </c>
      <c r="K18" s="19" t="n">
        <v>-383.21</v>
      </c>
      <c r="M18" t="inlineStr">
        <is>
          <t>Октябрь 2025</t>
        </is>
      </c>
      <c r="N18" s="20" t="n">
        <v>5295</v>
      </c>
      <c r="O18" s="20" t="n">
        <v>16501</v>
      </c>
      <c r="P18" s="20" t="n">
        <v>-108.4</v>
      </c>
    </row>
    <row r="19" ht="20" customHeight="1">
      <c r="A19" s="23" t="inlineStr">
        <is>
          <t>Октябрь 2025</t>
        </is>
      </c>
      <c r="B19" s="24" t="n">
        <v>18971</v>
      </c>
      <c r="C19" s="24" t="n">
        <v>13676</v>
      </c>
      <c r="D19" s="25" t="n">
        <v>5295</v>
      </c>
      <c r="E19" s="24" t="n">
        <v>111437</v>
      </c>
      <c r="F19" s="24" t="n">
        <v>94936</v>
      </c>
      <c r="G19" s="25" t="n">
        <v>16501</v>
      </c>
      <c r="H19" s="24" t="n">
        <v>2733.6</v>
      </c>
      <c r="I19" s="24" t="n">
        <v>2842</v>
      </c>
      <c r="J19" s="25" t="n">
        <v>-108.4</v>
      </c>
      <c r="K19" s="25" t="n">
        <v>21687.6</v>
      </c>
      <c r="M19" t="inlineStr">
        <is>
          <t>Ноябрь 2025</t>
        </is>
      </c>
      <c r="N19" s="20" t="n">
        <v>7807</v>
      </c>
      <c r="O19" s="20" t="n">
        <v>-653</v>
      </c>
      <c r="P19" s="20" t="n">
        <v>1.6</v>
      </c>
    </row>
    <row r="20" ht="20" customHeight="1">
      <c r="A20" s="17" t="inlineStr">
        <is>
          <t>Ноябрь 2025</t>
        </is>
      </c>
      <c r="B20" s="18" t="n">
        <v>40919</v>
      </c>
      <c r="C20" s="18" t="n">
        <v>33112</v>
      </c>
      <c r="D20" s="19" t="n">
        <v>7807</v>
      </c>
      <c r="E20" s="18" t="n">
        <v>161060</v>
      </c>
      <c r="F20" s="18" t="n">
        <v>161713</v>
      </c>
      <c r="G20" s="19" t="n">
        <v>-653</v>
      </c>
      <c r="H20" s="18" t="n">
        <v>2733.6</v>
      </c>
      <c r="I20" s="18" t="n">
        <v>2732</v>
      </c>
      <c r="J20" s="19" t="n">
        <v>1.6</v>
      </c>
      <c r="K20" s="19" t="n">
        <v>7155.6</v>
      </c>
      <c r="M20" t="inlineStr">
        <is>
          <t>Декабрь 2025</t>
        </is>
      </c>
      <c r="N20" s="20" t="n">
        <v>20250</v>
      </c>
      <c r="O20" s="20" t="n">
        <v>8670</v>
      </c>
      <c r="P20" s="20" t="n">
        <v>764.6799999999999</v>
      </c>
    </row>
    <row r="21" ht="20" customHeight="1">
      <c r="A21" s="23" t="inlineStr">
        <is>
          <t>Декабрь 2025</t>
        </is>
      </c>
      <c r="B21" s="24" t="n">
        <v>78178</v>
      </c>
      <c r="C21" s="24" t="n">
        <v>57928</v>
      </c>
      <c r="D21" s="25" t="n">
        <v>20250</v>
      </c>
      <c r="E21" s="24" t="n">
        <v>158400</v>
      </c>
      <c r="F21" s="24" t="n">
        <v>149730</v>
      </c>
      <c r="G21" s="25" t="n">
        <v>8670</v>
      </c>
      <c r="H21" s="24" t="n">
        <v>3280.68</v>
      </c>
      <c r="I21" s="24" t="n">
        <v>2516</v>
      </c>
      <c r="J21" s="25" t="n">
        <v>764.6799999999999</v>
      </c>
      <c r="K21" s="25" t="n">
        <v>29684.68</v>
      </c>
      <c r="M21" t="inlineStr">
        <is>
          <t>Январь 2026</t>
        </is>
      </c>
      <c r="N21" s="20" t="n">
        <v>10917.08</v>
      </c>
      <c r="O21" s="20" t="n">
        <v>6024</v>
      </c>
      <c r="P21" s="20" t="n">
        <v>221.39</v>
      </c>
    </row>
    <row r="22" ht="22" customHeight="1">
      <c r="A22" s="21" t="inlineStr">
        <is>
          <t>Итого 2025</t>
        </is>
      </c>
      <c r="B22" s="22" t="n">
        <v>360852</v>
      </c>
      <c r="C22" s="22" t="n">
        <v>233447</v>
      </c>
      <c r="D22" s="22" t="n">
        <v>127405</v>
      </c>
      <c r="E22" s="22" t="n">
        <v>1129021</v>
      </c>
      <c r="F22" s="22" t="n">
        <v>1047877.11</v>
      </c>
      <c r="G22" s="22" t="n">
        <v>81143.89</v>
      </c>
      <c r="H22" s="22" t="n">
        <v>35996.58</v>
      </c>
      <c r="I22" s="22" t="n">
        <v>25587</v>
      </c>
      <c r="J22" s="22" t="n">
        <v>10409.58</v>
      </c>
      <c r="K22" s="22" t="n">
        <v>218958.47</v>
      </c>
      <c r="M22" t="inlineStr">
        <is>
          <t>Февраль 2026</t>
        </is>
      </c>
      <c r="N22" s="20" t="n">
        <v>10265.07</v>
      </c>
      <c r="O22" s="20" t="n">
        <v>3277</v>
      </c>
      <c r="P22" s="20" t="n">
        <v>448.47</v>
      </c>
    </row>
    <row r="23" ht="20" customHeight="1">
      <c r="A23" s="17" t="inlineStr">
        <is>
          <t>Январь 2026</t>
        </is>
      </c>
      <c r="B23" s="18" t="n">
        <v>78560.08</v>
      </c>
      <c r="C23" s="18" t="n">
        <v>67643</v>
      </c>
      <c r="D23" s="19" t="n">
        <v>10917.08</v>
      </c>
      <c r="E23" s="18" t="n">
        <v>151790</v>
      </c>
      <c r="F23" s="18" t="n">
        <v>145766</v>
      </c>
      <c r="G23" s="19" t="n">
        <v>6024</v>
      </c>
      <c r="H23" s="18" t="n">
        <v>2445.39</v>
      </c>
      <c r="I23" s="18" t="n">
        <v>2224</v>
      </c>
      <c r="J23" s="19" t="n">
        <v>221.39</v>
      </c>
      <c r="K23" s="19" t="n">
        <v>17162.47</v>
      </c>
      <c r="M23" t="inlineStr">
        <is>
          <t>Март 2026</t>
        </is>
      </c>
      <c r="N23" s="20" t="n">
        <v>-4311.57</v>
      </c>
      <c r="O23" s="20" t="n">
        <v>33092</v>
      </c>
      <c r="P23" s="20" t="n">
        <v>-786</v>
      </c>
    </row>
    <row r="24" ht="20" customHeight="1">
      <c r="A24" s="23" t="inlineStr">
        <is>
          <t>Февраль 2026</t>
        </is>
      </c>
      <c r="B24" s="24" t="n">
        <v>71727.07000000001</v>
      </c>
      <c r="C24" s="24" t="n">
        <v>61462</v>
      </c>
      <c r="D24" s="25" t="n">
        <v>10265.07</v>
      </c>
      <c r="E24" s="24" t="n">
        <v>174213</v>
      </c>
      <c r="F24" s="24" t="n">
        <v>170936</v>
      </c>
      <c r="G24" s="25" t="n">
        <v>3277</v>
      </c>
      <c r="H24" s="24" t="n">
        <v>2779.47</v>
      </c>
      <c r="I24" s="24" t="n">
        <v>2331</v>
      </c>
      <c r="J24" s="25" t="n">
        <v>448.47</v>
      </c>
      <c r="K24" s="25" t="n">
        <v>13990.54</v>
      </c>
      <c r="M24" t="inlineStr">
        <is>
          <t>Апрель 2026</t>
        </is>
      </c>
      <c r="N24" s="20" t="n">
        <v>-4908.03</v>
      </c>
      <c r="O24" s="20" t="n">
        <v>-10400</v>
      </c>
      <c r="P24" s="20" t="n">
        <v>151</v>
      </c>
    </row>
    <row r="25" ht="20" customHeight="1">
      <c r="A25" s="26" t="inlineStr">
        <is>
          <t>Март 2026</t>
        </is>
      </c>
      <c r="B25" s="27" t="n">
        <v>44241.51</v>
      </c>
      <c r="C25" s="27" t="n">
        <v>48553.08</v>
      </c>
      <c r="D25" s="28" t="n">
        <v>-4311.57</v>
      </c>
      <c r="E25" s="27" t="n">
        <v>164677</v>
      </c>
      <c r="F25" s="27" t="n">
        <v>131585</v>
      </c>
      <c r="G25" s="28" t="n">
        <v>33092</v>
      </c>
      <c r="H25" s="27" t="n">
        <v>3113</v>
      </c>
      <c r="I25" s="27" t="n">
        <v>3899</v>
      </c>
      <c r="J25" s="28" t="n">
        <v>-786</v>
      </c>
      <c r="K25" s="28" t="n">
        <v>27994.43</v>
      </c>
      <c r="M25" t="inlineStr">
        <is>
          <t>Май 2026</t>
        </is>
      </c>
      <c r="N25" s="20" t="n">
        <v>0</v>
      </c>
      <c r="O25" s="20" t="n">
        <v>28478</v>
      </c>
      <c r="P25" s="20" t="n">
        <v>1336.92</v>
      </c>
    </row>
    <row r="26" ht="20" customHeight="1">
      <c r="A26" s="23" t="inlineStr">
        <is>
          <t>Апрель 2026</t>
        </is>
      </c>
      <c r="B26" s="24" t="n">
        <v>25567.97</v>
      </c>
      <c r="C26" s="24" t="n">
        <v>30476</v>
      </c>
      <c r="D26" s="25" t="n">
        <v>-4908.03</v>
      </c>
      <c r="E26" s="24" t="n">
        <v>133379</v>
      </c>
      <c r="F26" s="24" t="n">
        <v>143779</v>
      </c>
      <c r="G26" s="25" t="n">
        <v>-10400</v>
      </c>
      <c r="H26" s="24" t="n">
        <v>3479</v>
      </c>
      <c r="I26" s="24" t="n">
        <v>3328</v>
      </c>
      <c r="J26" s="25" t="n">
        <v>151</v>
      </c>
      <c r="K26" s="25" t="n">
        <v>-15157.03</v>
      </c>
      <c r="M26" t="inlineStr">
        <is>
          <t>Июнь 2026</t>
        </is>
      </c>
      <c r="N26" s="20" t="n">
        <v>0</v>
      </c>
      <c r="O26" s="20" t="n">
        <v>-3875</v>
      </c>
      <c r="P26" s="20" t="n">
        <v>-2003</v>
      </c>
    </row>
    <row r="27" ht="20" customHeight="1">
      <c r="A27" s="26" t="inlineStr">
        <is>
          <t>Май 2026</t>
        </is>
      </c>
      <c r="B27" s="27" t="n">
        <v>0</v>
      </c>
      <c r="C27" s="27" t="n">
        <v>0</v>
      </c>
      <c r="D27" s="28" t="n">
        <v>0</v>
      </c>
      <c r="E27" s="27" t="n">
        <v>184738</v>
      </c>
      <c r="F27" s="27" t="n">
        <v>156260</v>
      </c>
      <c r="G27" s="28" t="n">
        <v>28478</v>
      </c>
      <c r="H27" s="27" t="n">
        <v>4557.92</v>
      </c>
      <c r="I27" s="27" t="n">
        <v>3221</v>
      </c>
      <c r="J27" s="28" t="n">
        <v>1336.92</v>
      </c>
      <c r="K27" s="28" t="n">
        <v>29814.92</v>
      </c>
      <c r="M27" t="inlineStr">
        <is>
          <t>Июль 2026</t>
        </is>
      </c>
      <c r="N27" s="20" t="n">
        <v>0</v>
      </c>
      <c r="O27" s="20" t="n">
        <v>2703</v>
      </c>
      <c r="P27" s="20" t="n">
        <v>-1000</v>
      </c>
    </row>
    <row r="28" ht="20" customHeight="1">
      <c r="A28" s="23" t="inlineStr">
        <is>
          <t>Июнь 2026</t>
        </is>
      </c>
      <c r="B28" s="24" t="n">
        <v>0</v>
      </c>
      <c r="C28" s="24" t="n">
        <v>0</v>
      </c>
      <c r="D28" s="25" t="n">
        <v>0</v>
      </c>
      <c r="E28" s="24" t="n">
        <v>155822</v>
      </c>
      <c r="F28" s="24" t="n">
        <v>159697</v>
      </c>
      <c r="G28" s="25" t="n">
        <v>-3875</v>
      </c>
      <c r="H28" s="24" t="n">
        <v>2001</v>
      </c>
      <c r="I28" s="24" t="n">
        <v>4004</v>
      </c>
      <c r="J28" s="25" t="n">
        <v>-2003</v>
      </c>
      <c r="K28" s="25" t="n">
        <v>-5878</v>
      </c>
      <c r="M28" t="inlineStr">
        <is>
          <t>Август 2026</t>
        </is>
      </c>
      <c r="N28" s="20" t="n">
        <v>0</v>
      </c>
      <c r="O28" s="20" t="n">
        <v>-940</v>
      </c>
      <c r="P28" s="20" t="n">
        <v>2224</v>
      </c>
    </row>
    <row r="29" ht="20" customHeight="1">
      <c r="A29" s="17" t="inlineStr">
        <is>
          <t>Июль 2026</t>
        </is>
      </c>
      <c r="B29" s="18" t="n">
        <v>0</v>
      </c>
      <c r="C29" s="18" t="n">
        <v>0</v>
      </c>
      <c r="D29" s="19" t="n">
        <v>0</v>
      </c>
      <c r="E29" s="18" t="n">
        <v>153460</v>
      </c>
      <c r="F29" s="18" t="n">
        <v>150757</v>
      </c>
      <c r="G29" s="19" t="n">
        <v>2703</v>
      </c>
      <c r="H29" s="18" t="n">
        <v>2001</v>
      </c>
      <c r="I29" s="18" t="n">
        <v>3001</v>
      </c>
      <c r="J29" s="19" t="n">
        <v>-1000</v>
      </c>
      <c r="K29" s="19" t="n">
        <v>1703</v>
      </c>
    </row>
    <row r="30" ht="20" customHeight="1">
      <c r="A30" s="23" t="inlineStr">
        <is>
          <t>Август 2026</t>
        </is>
      </c>
      <c r="B30" s="24" t="n">
        <v>0</v>
      </c>
      <c r="C30" s="24" t="n">
        <v>0</v>
      </c>
      <c r="D30" s="25" t="n">
        <v>0</v>
      </c>
      <c r="E30" s="24" t="n">
        <v>158604</v>
      </c>
      <c r="F30" s="24" t="n">
        <v>159544</v>
      </c>
      <c r="G30" s="25" t="n">
        <v>-940</v>
      </c>
      <c r="H30" s="24" t="n">
        <v>5225</v>
      </c>
      <c r="I30" s="24" t="n">
        <v>3001</v>
      </c>
      <c r="J30" s="25" t="n">
        <v>2224</v>
      </c>
      <c r="K30" s="25" t="n">
        <v>1284</v>
      </c>
    </row>
    <row r="31" ht="22" customHeight="1">
      <c r="A31" s="21" t="inlineStr">
        <is>
          <t>Итого 2026 (январь–август)</t>
        </is>
      </c>
      <c r="B31" s="22" t="n">
        <v>220096.63</v>
      </c>
      <c r="C31" s="22" t="n">
        <v>208134.08</v>
      </c>
      <c r="D31" s="22" t="n">
        <v>11962.55</v>
      </c>
      <c r="E31" s="22" t="n">
        <v>1276683</v>
      </c>
      <c r="F31" s="22" t="n">
        <v>1218324</v>
      </c>
      <c r="G31" s="22" t="n">
        <v>58359</v>
      </c>
      <c r="H31" s="22" t="n">
        <v>25601.78</v>
      </c>
      <c r="I31" s="22" t="n">
        <v>25009</v>
      </c>
      <c r="J31" s="22" t="n">
        <v>592.78</v>
      </c>
      <c r="K31" s="22" t="n">
        <v>70914.33</v>
      </c>
    </row>
    <row r="32" ht="24" customHeight="1">
      <c r="A32" s="29" t="inlineStr">
        <is>
          <t>Итого</t>
        </is>
      </c>
      <c r="B32" s="30" t="n">
        <v>624534.63</v>
      </c>
      <c r="C32" s="30" t="n">
        <v>497838.08</v>
      </c>
      <c r="D32" s="30" t="n">
        <v>126696.55</v>
      </c>
      <c r="E32" s="30" t="n">
        <v>2493442</v>
      </c>
      <c r="F32" s="30" t="n">
        <v>2318626.11</v>
      </c>
      <c r="G32" s="30" t="n">
        <v>174815.89</v>
      </c>
      <c r="H32" s="30" t="n">
        <v>62101.36</v>
      </c>
      <c r="I32" s="30" t="n">
        <v>51854</v>
      </c>
      <c r="J32" s="30" t="n">
        <v>10247.36</v>
      </c>
      <c r="K32" s="30" t="n">
        <v>311759.8</v>
      </c>
    </row>
    <row r="34">
      <c r="A34" s="31" t="inlineStr">
        <is>
          <t>На что смотреть в исходнике</t>
        </is>
      </c>
    </row>
    <row r="35" ht="30" customHeight="1">
      <c r="A35" s="32" t="inlineStr">
        <is>
          <t>Отопление взято из строки «Тепло». Отдельная строка «поток отопление» (1 500 ₽ в месяц, в части месяцев вместе с инженером, шлагбаумом, мусором и уборкой) в этот перерасход не входит: она сразу попадает в долг Берлизова и Хрисанова.</t>
        </is>
      </c>
    </row>
    <row r="36" ht="30" customHeight="1">
      <c r="A36" s="32" t="inlineStr">
        <is>
          <t>Март 2026, вода: у «Люкс» стоит 1 555 ₽, в других месяцах около 222 ₽. Из-за этого перерасход воды за март отрицательный.</t>
        </is>
      </c>
    </row>
    <row r="37" ht="30" customHeight="1">
      <c r="A37" s="32" t="inlineStr">
        <is>
          <t>Май 2026, вода: суммы Сбера, Люкса и Чижика посчитаны как 65 359 − свет, 16 340 − свет и 70 726 − свет.</t>
        </is>
      </c>
    </row>
    <row r="38" ht="30" customHeight="1">
      <c r="A38" s="32" t="inlineStr">
        <is>
          <t>С мая по сентябрь 2025 и с мая по август 2026 общий расход отопления в блоке месяца равен нулю.</t>
        </is>
      </c>
    </row>
  </sheetData>
  <mergeCells count="13">
    <mergeCell ref="A34:K34"/>
    <mergeCell ref="A35:K35"/>
    <mergeCell ref="A4:K4"/>
    <mergeCell ref="A37:K37"/>
    <mergeCell ref="A3:K3"/>
    <mergeCell ref="B6:D6"/>
    <mergeCell ref="A38:K38"/>
    <mergeCell ref="A2:K2"/>
    <mergeCell ref="A6:A7"/>
    <mergeCell ref="A1:K1"/>
    <mergeCell ref="A36:K36"/>
    <mergeCell ref="E6:G6"/>
    <mergeCell ref="H6:J6"/>
  </mergeCells>
  <conditionalFormatting sqref="D8:D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8:G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8:J3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8:K31">
    <cfRule type="cellIs" priority="7" operator="greaterThan" dxfId="0">
      <formula>0</formula>
    </cfRule>
    <cfRule type="cellIs" priority="8" operator="lessThan" dxfId="1">
      <formula>0</formula>
    </cfRule>
  </conditionalFormatting>
  <pageMargins left="0.4" right="0.4" top="0.55" bottom="0.5" header="0.22" footer="0.22"/>
  <pageSetup orientation="landscape" paperSize="9" fitToHeight="1" fitToWidth="1"/>
  <headerFooter>
    <oddHeader>&amp;LКостюкова · перерасход</oddHeader>
    <oddFooter>&amp;LПерерасход = общий расход − сумма арендаторов&amp;RСтр.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1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 ht="26" customHeight="1">
      <c r="A1" s="33" t="inlineStr">
        <is>
          <t>Расшифровка: общий расход и арендаторы</t>
        </is>
      </c>
    </row>
    <row r="2" ht="32" customHeight="1">
      <c r="A2" s="2" t="inlineStr">
        <is>
          <t>Сумма колонок арендаторов равна колонке «Арендаторы» на листе «Перерасход». Пустая ячейка — арендатора в этом месяце на листе не было. Берлизов А. и Хрисанов А. сюда не включены.</t>
        </is>
      </c>
    </row>
    <row r="4" ht="32" customHeight="1">
      <c r="A4" s="4" t="inlineStr">
        <is>
          <t>Месяц</t>
        </is>
      </c>
      <c r="B4" s="4" t="inlineStr">
        <is>
          <t>Ресурс</t>
        </is>
      </c>
      <c r="C4" s="34" t="inlineStr">
        <is>
          <t>Общий расход</t>
        </is>
      </c>
      <c r="D4" s="35" t="inlineStr">
        <is>
          <t>Сбер</t>
        </is>
      </c>
      <c r="E4" s="35" t="inlineStr">
        <is>
          <t>Аркарго</t>
        </is>
      </c>
      <c r="F4" s="35" t="inlineStr">
        <is>
          <t>Кофе</t>
        </is>
      </c>
      <c r="G4" s="35" t="inlineStr">
        <is>
          <t>Люкс</t>
        </is>
      </c>
      <c r="H4" s="35" t="inlineStr">
        <is>
          <t>Клиника</t>
        </is>
      </c>
      <c r="I4" s="35" t="inlineStr">
        <is>
          <t>Водомат</t>
        </is>
      </c>
      <c r="J4" s="35" t="inlineStr">
        <is>
          <t>Чижик</t>
        </is>
      </c>
      <c r="K4" s="35" t="inlineStr">
        <is>
          <t>Пирожки</t>
        </is>
      </c>
      <c r="L4" s="36" t="inlineStr">
        <is>
          <t>Сумма арендаторов</t>
        </is>
      </c>
      <c r="M4" s="37" t="inlineStr">
        <is>
          <t>Перерасход</t>
        </is>
      </c>
    </row>
    <row r="5" ht="18" customHeight="1">
      <c r="A5" s="38" t="inlineStr">
        <is>
          <t>Декабрь 2024</t>
        </is>
      </c>
      <c r="B5" s="39" t="inlineStr">
        <is>
          <t>Отопление</t>
        </is>
      </c>
      <c r="C5" s="40" t="n">
        <v>43586</v>
      </c>
      <c r="D5" s="40" t="n">
        <v>44419</v>
      </c>
      <c r="E5" s="40" t="n">
        <v>11838</v>
      </c>
      <c r="F5" s="41" t="n"/>
      <c r="G5" s="41" t="n"/>
      <c r="H5" s="41" t="n"/>
      <c r="I5" s="41" t="n"/>
      <c r="J5" s="41" t="n"/>
      <c r="K5" s="41" t="n"/>
      <c r="L5" s="42" t="n">
        <v>56257</v>
      </c>
      <c r="M5" s="42" t="n">
        <v>-12671</v>
      </c>
    </row>
    <row r="6" ht="18" customHeight="1">
      <c r="A6" s="43" t="inlineStr">
        <is>
          <t>Декабрь 2024</t>
        </is>
      </c>
      <c r="B6" s="44" t="inlineStr">
        <is>
          <t>Свет (электричество)</t>
        </is>
      </c>
      <c r="C6" s="45" t="n">
        <v>87738</v>
      </c>
      <c r="D6" s="45" t="n">
        <v>45723</v>
      </c>
      <c r="E6" s="45" t="n">
        <v>6702</v>
      </c>
      <c r="F6" s="46" t="n"/>
      <c r="G6" s="46" t="n"/>
      <c r="H6" s="46" t="n"/>
      <c r="I6" s="46" t="n"/>
      <c r="J6" s="46" t="n"/>
      <c r="K6" s="46" t="n"/>
      <c r="L6" s="47" t="n">
        <v>52425</v>
      </c>
      <c r="M6" s="47" t="n">
        <v>35313</v>
      </c>
    </row>
    <row r="7" ht="18" customHeight="1">
      <c r="A7" s="48" t="inlineStr">
        <is>
          <t>Декабрь 2024</t>
        </is>
      </c>
      <c r="B7" s="49" t="inlineStr">
        <is>
          <t>Вода</t>
        </is>
      </c>
      <c r="C7" s="50" t="n">
        <v>503</v>
      </c>
      <c r="D7" s="50" t="n">
        <v>755</v>
      </c>
      <c r="E7" s="50" t="n">
        <v>503</v>
      </c>
      <c r="F7" s="51" t="n"/>
      <c r="G7" s="51" t="n"/>
      <c r="H7" s="51" t="n"/>
      <c r="I7" s="51" t="n"/>
      <c r="J7" s="51" t="n"/>
      <c r="K7" s="51" t="n"/>
      <c r="L7" s="52" t="n">
        <v>1258</v>
      </c>
      <c r="M7" s="52" t="n">
        <v>-755</v>
      </c>
    </row>
    <row r="8" ht="18" customHeight="1">
      <c r="A8" s="38" t="inlineStr">
        <is>
          <t>Январь 2025</t>
        </is>
      </c>
      <c r="B8" s="39" t="inlineStr">
        <is>
          <t>Отопление</t>
        </is>
      </c>
      <c r="C8" s="40" t="n">
        <v>72562</v>
      </c>
      <c r="D8" s="40" t="n">
        <v>24171</v>
      </c>
      <c r="E8" s="40" t="n">
        <v>16485</v>
      </c>
      <c r="F8" s="41" t="n"/>
      <c r="G8" s="41" t="n"/>
      <c r="H8" s="41" t="n"/>
      <c r="I8" s="41" t="n"/>
      <c r="J8" s="41" t="n"/>
      <c r="K8" s="41" t="n"/>
      <c r="L8" s="42" t="n">
        <v>40656</v>
      </c>
      <c r="M8" s="42" t="n">
        <v>31906</v>
      </c>
    </row>
    <row r="9" ht="18" customHeight="1">
      <c r="A9" s="43" t="inlineStr">
        <is>
          <t>Январь 2025</t>
        </is>
      </c>
      <c r="B9" s="44" t="inlineStr">
        <is>
          <t>Свет (электричество)</t>
        </is>
      </c>
      <c r="C9" s="45" t="n">
        <v>80782</v>
      </c>
      <c r="D9" s="45" t="n">
        <v>54362</v>
      </c>
      <c r="E9" s="45" t="n">
        <v>8337</v>
      </c>
      <c r="F9" s="46" t="n"/>
      <c r="G9" s="46" t="n"/>
      <c r="H9" s="46" t="n"/>
      <c r="I9" s="46" t="n"/>
      <c r="J9" s="46" t="n"/>
      <c r="K9" s="46" t="n"/>
      <c r="L9" s="47" t="n">
        <v>62699</v>
      </c>
      <c r="M9" s="47" t="n">
        <v>18083</v>
      </c>
    </row>
    <row r="10" ht="18" customHeight="1">
      <c r="A10" s="48" t="inlineStr">
        <is>
          <t>Январь 2025</t>
        </is>
      </c>
      <c r="B10" s="49" t="inlineStr">
        <is>
          <t>Вода</t>
        </is>
      </c>
      <c r="C10" s="50" t="n">
        <v>0</v>
      </c>
      <c r="D10" s="50" t="n">
        <v>0</v>
      </c>
      <c r="E10" s="50" t="n">
        <v>656</v>
      </c>
      <c r="F10" s="51" t="n"/>
      <c r="G10" s="51" t="n"/>
      <c r="H10" s="51" t="n"/>
      <c r="I10" s="51" t="n"/>
      <c r="J10" s="51" t="n"/>
      <c r="K10" s="51" t="n"/>
      <c r="L10" s="52" t="n">
        <v>656</v>
      </c>
      <c r="M10" s="52" t="n">
        <v>-656</v>
      </c>
    </row>
    <row r="11" ht="18" customHeight="1">
      <c r="A11" s="38" t="inlineStr">
        <is>
          <t>Февраль 2025</t>
        </is>
      </c>
      <c r="B11" s="39" t="inlineStr">
        <is>
          <t>Отопление</t>
        </is>
      </c>
      <c r="C11" s="40" t="n">
        <v>76996</v>
      </c>
      <c r="D11" s="40" t="n">
        <v>27617</v>
      </c>
      <c r="E11" s="40" t="n">
        <v>16790</v>
      </c>
      <c r="F11" s="41" t="n"/>
      <c r="G11" s="41" t="n"/>
      <c r="H11" s="41" t="n"/>
      <c r="I11" s="41" t="n"/>
      <c r="J11" s="41" t="n"/>
      <c r="K11" s="41" t="n"/>
      <c r="L11" s="42" t="n">
        <v>44407</v>
      </c>
      <c r="M11" s="42" t="n">
        <v>32589</v>
      </c>
    </row>
    <row r="12" ht="18" customHeight="1">
      <c r="A12" s="43" t="inlineStr">
        <is>
          <t>Февраль 2025</t>
        </is>
      </c>
      <c r="B12" s="44" t="inlineStr">
        <is>
          <t>Свет (электричество)</t>
        </is>
      </c>
      <c r="C12" s="45" t="n">
        <v>85526</v>
      </c>
      <c r="D12" s="45" t="n">
        <v>64266</v>
      </c>
      <c r="E12" s="45" t="n">
        <v>19034</v>
      </c>
      <c r="F12" s="46" t="n"/>
      <c r="G12" s="46" t="n"/>
      <c r="H12" s="46" t="n"/>
      <c r="I12" s="46" t="n"/>
      <c r="J12" s="46" t="n"/>
      <c r="K12" s="46" t="n"/>
      <c r="L12" s="47" t="n">
        <v>83300</v>
      </c>
      <c r="M12" s="47" t="n">
        <v>2226</v>
      </c>
    </row>
    <row r="13" ht="18" customHeight="1">
      <c r="A13" s="48" t="inlineStr">
        <is>
          <t>Февраль 2025</t>
        </is>
      </c>
      <c r="B13" s="49" t="inlineStr">
        <is>
          <t>Вода</t>
        </is>
      </c>
      <c r="C13" s="50" t="n">
        <v>4156</v>
      </c>
      <c r="D13" s="50" t="n">
        <v>2625</v>
      </c>
      <c r="E13" s="50" t="n">
        <v>219</v>
      </c>
      <c r="F13" s="51" t="n"/>
      <c r="G13" s="51" t="n"/>
      <c r="H13" s="51" t="n"/>
      <c r="I13" s="51" t="n"/>
      <c r="J13" s="51" t="n"/>
      <c r="K13" s="51" t="n"/>
      <c r="L13" s="52" t="n">
        <v>2844</v>
      </c>
      <c r="M13" s="52" t="n">
        <v>1312</v>
      </c>
    </row>
    <row r="14" ht="18" customHeight="1">
      <c r="A14" s="38" t="inlineStr">
        <is>
          <t>Март 2025</t>
        </is>
      </c>
      <c r="B14" s="39" t="inlineStr">
        <is>
          <t>Отопление</t>
        </is>
      </c>
      <c r="C14" s="40" t="n">
        <v>59309</v>
      </c>
      <c r="D14" s="40" t="n">
        <v>19096</v>
      </c>
      <c r="E14" s="40" t="n">
        <v>13674</v>
      </c>
      <c r="F14" s="40" t="n">
        <v>2625</v>
      </c>
      <c r="G14" s="41" t="n"/>
      <c r="H14" s="41" t="n"/>
      <c r="I14" s="41" t="n"/>
      <c r="J14" s="41" t="n"/>
      <c r="K14" s="41" t="n"/>
      <c r="L14" s="42" t="n">
        <v>35395</v>
      </c>
      <c r="M14" s="42" t="n">
        <v>23914</v>
      </c>
    </row>
    <row r="15" ht="18" customHeight="1">
      <c r="A15" s="43" t="inlineStr">
        <is>
          <t>Март 2025</t>
        </is>
      </c>
      <c r="B15" s="44" t="inlineStr">
        <is>
          <t>Свет (электричество)</t>
        </is>
      </c>
      <c r="C15" s="45" t="n">
        <v>71086</v>
      </c>
      <c r="D15" s="45" t="n">
        <v>51472</v>
      </c>
      <c r="E15" s="45" t="n">
        <v>10946</v>
      </c>
      <c r="F15" s="45" t="n">
        <v>2786</v>
      </c>
      <c r="G15" s="46" t="n"/>
      <c r="H15" s="46" t="n"/>
      <c r="I15" s="46" t="n"/>
      <c r="J15" s="46" t="n"/>
      <c r="K15" s="46" t="n"/>
      <c r="L15" s="47" t="n">
        <v>65204</v>
      </c>
      <c r="M15" s="47" t="n">
        <v>5882</v>
      </c>
    </row>
    <row r="16" ht="18" customHeight="1">
      <c r="A16" s="48" t="inlineStr">
        <is>
          <t>Март 2025</t>
        </is>
      </c>
      <c r="B16" s="49" t="inlineStr">
        <is>
          <t>Вода</t>
        </is>
      </c>
      <c r="C16" s="50" t="n">
        <v>5687</v>
      </c>
      <c r="D16" s="50" t="n">
        <v>1422</v>
      </c>
      <c r="E16" s="50" t="n">
        <v>656</v>
      </c>
      <c r="F16" s="50" t="n">
        <v>0</v>
      </c>
      <c r="G16" s="51" t="n"/>
      <c r="H16" s="51" t="n"/>
      <c r="I16" s="51" t="n"/>
      <c r="J16" s="51" t="n"/>
      <c r="K16" s="51" t="n"/>
      <c r="L16" s="52" t="n">
        <v>2078</v>
      </c>
      <c r="M16" s="52" t="n">
        <v>3609</v>
      </c>
    </row>
    <row r="17" ht="18" customHeight="1">
      <c r="A17" s="38" t="inlineStr">
        <is>
          <t>Апрель 2025</t>
        </is>
      </c>
      <c r="B17" s="39" t="inlineStr">
        <is>
          <t>Отопление</t>
        </is>
      </c>
      <c r="C17" s="40" t="n">
        <v>13917</v>
      </c>
      <c r="D17" s="40" t="n">
        <v>4427</v>
      </c>
      <c r="E17" s="40" t="n">
        <v>3226</v>
      </c>
      <c r="F17" s="40" t="n">
        <v>620</v>
      </c>
      <c r="G17" s="41" t="n"/>
      <c r="H17" s="41" t="n"/>
      <c r="I17" s="41" t="n"/>
      <c r="J17" s="41" t="n"/>
      <c r="K17" s="41" t="n"/>
      <c r="L17" s="42" t="n">
        <v>8273</v>
      </c>
      <c r="M17" s="42" t="n">
        <v>5644</v>
      </c>
    </row>
    <row r="18" ht="18" customHeight="1">
      <c r="A18" s="43" t="inlineStr">
        <is>
          <t>Апрель 2025</t>
        </is>
      </c>
      <c r="B18" s="44" t="inlineStr">
        <is>
          <t>Свет (электричество)</t>
        </is>
      </c>
      <c r="C18" s="45" t="n">
        <v>69650</v>
      </c>
      <c r="D18" s="45" t="n">
        <v>56107</v>
      </c>
      <c r="E18" s="45" t="n">
        <v>7932</v>
      </c>
      <c r="F18" s="45" t="n">
        <v>2333</v>
      </c>
      <c r="G18" s="46" t="n"/>
      <c r="H18" s="46" t="n"/>
      <c r="I18" s="46" t="n"/>
      <c r="J18" s="46" t="n"/>
      <c r="K18" s="46" t="n"/>
      <c r="L18" s="47" t="n">
        <v>66372</v>
      </c>
      <c r="M18" s="47" t="n">
        <v>3278</v>
      </c>
    </row>
    <row r="19" ht="18" customHeight="1">
      <c r="A19" s="48" t="inlineStr">
        <is>
          <t>Апрель 2025</t>
        </is>
      </c>
      <c r="B19" s="49" t="inlineStr">
        <is>
          <t>Вода</t>
        </is>
      </c>
      <c r="C19" s="50" t="n">
        <v>3827</v>
      </c>
      <c r="D19" s="50" t="n">
        <v>1531</v>
      </c>
      <c r="E19" s="50" t="n">
        <v>984</v>
      </c>
      <c r="F19" s="50" t="n">
        <v>109</v>
      </c>
      <c r="G19" s="51" t="n"/>
      <c r="H19" s="51" t="n"/>
      <c r="I19" s="51" t="n"/>
      <c r="J19" s="51" t="n"/>
      <c r="K19" s="51" t="n"/>
      <c r="L19" s="52" t="n">
        <v>2624</v>
      </c>
      <c r="M19" s="52" t="n">
        <v>1203</v>
      </c>
    </row>
    <row r="20" ht="18" customHeight="1">
      <c r="A20" s="38" t="inlineStr">
        <is>
          <t>Май 2025</t>
        </is>
      </c>
      <c r="B20" s="39" t="inlineStr">
        <is>
          <t>Отопление</t>
        </is>
      </c>
      <c r="C20" s="40" t="n">
        <v>0</v>
      </c>
      <c r="D20" s="40" t="n">
        <v>0</v>
      </c>
      <c r="E20" s="40" t="n">
        <v>0</v>
      </c>
      <c r="F20" s="40" t="n">
        <v>0</v>
      </c>
      <c r="G20" s="41" t="n"/>
      <c r="H20" s="41" t="n"/>
      <c r="I20" s="41" t="n"/>
      <c r="J20" s="41" t="n"/>
      <c r="K20" s="41" t="n"/>
      <c r="L20" s="42" t="n">
        <v>0</v>
      </c>
      <c r="M20" s="42" t="n">
        <v>0</v>
      </c>
    </row>
    <row r="21" ht="18" customHeight="1">
      <c r="A21" s="43" t="inlineStr">
        <is>
          <t>Май 2025</t>
        </is>
      </c>
      <c r="B21" s="44" t="inlineStr">
        <is>
          <t>Свет (электричество)</t>
        </is>
      </c>
      <c r="C21" s="45" t="n">
        <v>57170</v>
      </c>
      <c r="D21" s="45" t="n">
        <v>45855</v>
      </c>
      <c r="E21" s="45" t="n">
        <v>6199</v>
      </c>
      <c r="F21" s="45" t="n">
        <v>1748</v>
      </c>
      <c r="G21" s="46" t="n"/>
      <c r="H21" s="46" t="n"/>
      <c r="I21" s="46" t="n"/>
      <c r="J21" s="46" t="n"/>
      <c r="K21" s="46" t="n"/>
      <c r="L21" s="47" t="n">
        <v>53802</v>
      </c>
      <c r="M21" s="47" t="n">
        <v>3368</v>
      </c>
    </row>
    <row r="22" ht="18" customHeight="1">
      <c r="A22" s="48" t="inlineStr">
        <is>
          <t>Май 2025</t>
        </is>
      </c>
      <c r="B22" s="49" t="inlineStr">
        <is>
          <t>Вода</t>
        </is>
      </c>
      <c r="C22" s="50" t="n">
        <v>3190</v>
      </c>
      <c r="D22" s="50" t="n">
        <v>984</v>
      </c>
      <c r="E22" s="50" t="n">
        <v>547</v>
      </c>
      <c r="F22" s="50" t="n">
        <v>0</v>
      </c>
      <c r="G22" s="51" t="n"/>
      <c r="H22" s="51" t="n"/>
      <c r="I22" s="51" t="n"/>
      <c r="J22" s="51" t="n"/>
      <c r="K22" s="51" t="n"/>
      <c r="L22" s="52" t="n">
        <v>1531</v>
      </c>
      <c r="M22" s="52" t="n">
        <v>1659</v>
      </c>
    </row>
    <row r="23" ht="18" customHeight="1">
      <c r="A23" s="38" t="inlineStr">
        <is>
          <t>Июнь 2025</t>
        </is>
      </c>
      <c r="B23" s="39" t="inlineStr">
        <is>
          <t>Отопление</t>
        </is>
      </c>
      <c r="C23" s="40" t="n">
        <v>0</v>
      </c>
      <c r="D23" s="40" t="n">
        <v>0</v>
      </c>
      <c r="E23" s="40" t="n">
        <v>0</v>
      </c>
      <c r="F23" s="40" t="n">
        <v>0</v>
      </c>
      <c r="G23" s="41" t="n"/>
      <c r="H23" s="41" t="n"/>
      <c r="I23" s="41" t="n"/>
      <c r="J23" s="41" t="n"/>
      <c r="K23" s="41" t="n"/>
      <c r="L23" s="42" t="n">
        <v>0</v>
      </c>
      <c r="M23" s="42" t="n">
        <v>0</v>
      </c>
    </row>
    <row r="24" ht="18" customHeight="1">
      <c r="A24" s="43" t="inlineStr">
        <is>
          <t>Июнь 2025</t>
        </is>
      </c>
      <c r="B24" s="44" t="inlineStr">
        <is>
          <t>Свет (электричество)</t>
        </is>
      </c>
      <c r="C24" s="45" t="n">
        <v>65413</v>
      </c>
      <c r="D24" s="45" t="n">
        <v>52229</v>
      </c>
      <c r="E24" s="45" t="n">
        <v>5840</v>
      </c>
      <c r="F24" s="45" t="n">
        <v>119</v>
      </c>
      <c r="G24" s="46" t="n"/>
      <c r="H24" s="46" t="n"/>
      <c r="I24" s="46" t="n"/>
      <c r="J24" s="46" t="n"/>
      <c r="K24" s="46" t="n"/>
      <c r="L24" s="47" t="n">
        <v>58188</v>
      </c>
      <c r="M24" s="47" t="n">
        <v>7225</v>
      </c>
    </row>
    <row r="25" ht="18" customHeight="1">
      <c r="A25" s="48" t="inlineStr">
        <is>
          <t>Июнь 2025</t>
        </is>
      </c>
      <c r="B25" s="49" t="inlineStr">
        <is>
          <t>Вода</t>
        </is>
      </c>
      <c r="C25" s="50" t="n">
        <v>2187</v>
      </c>
      <c r="D25" s="50" t="n">
        <v>1531</v>
      </c>
      <c r="E25" s="50" t="n">
        <v>547</v>
      </c>
      <c r="F25" s="50" t="n">
        <v>0</v>
      </c>
      <c r="G25" s="51" t="n"/>
      <c r="H25" s="51" t="n"/>
      <c r="I25" s="51" t="n"/>
      <c r="J25" s="51" t="n"/>
      <c r="K25" s="51" t="n"/>
      <c r="L25" s="52" t="n">
        <v>2078</v>
      </c>
      <c r="M25" s="52" t="n">
        <v>109</v>
      </c>
    </row>
    <row r="26" ht="18" customHeight="1">
      <c r="A26" s="38" t="inlineStr">
        <is>
          <t>Июль 2025</t>
        </is>
      </c>
      <c r="B26" s="39" t="inlineStr">
        <is>
          <t>Отопление</t>
        </is>
      </c>
      <c r="C26" s="40" t="n">
        <v>0</v>
      </c>
      <c r="D26" s="40" t="n">
        <v>0</v>
      </c>
      <c r="E26" s="41" t="n"/>
      <c r="F26" s="40" t="n">
        <v>0</v>
      </c>
      <c r="G26" s="40" t="n">
        <v>0</v>
      </c>
      <c r="H26" s="41" t="n"/>
      <c r="I26" s="41" t="n"/>
      <c r="J26" s="41" t="n"/>
      <c r="K26" s="41" t="n"/>
      <c r="L26" s="42" t="n">
        <v>0</v>
      </c>
      <c r="M26" s="42" t="n">
        <v>0</v>
      </c>
    </row>
    <row r="27" ht="18" customHeight="1">
      <c r="A27" s="43" t="inlineStr">
        <is>
          <t>Июль 2025</t>
        </is>
      </c>
      <c r="B27" s="44" t="inlineStr">
        <is>
          <t>Свет (электричество)</t>
        </is>
      </c>
      <c r="C27" s="45" t="n">
        <v>77716</v>
      </c>
      <c r="D27" s="45" t="n">
        <v>62715</v>
      </c>
      <c r="E27" s="46" t="n"/>
      <c r="F27" s="45" t="n">
        <v>0</v>
      </c>
      <c r="G27" s="45" t="n">
        <v>4987</v>
      </c>
      <c r="H27" s="46" t="n"/>
      <c r="I27" s="46" t="n"/>
      <c r="J27" s="46" t="n"/>
      <c r="K27" s="46" t="n"/>
      <c r="L27" s="47" t="n">
        <v>67702</v>
      </c>
      <c r="M27" s="47" t="n">
        <v>10014</v>
      </c>
    </row>
    <row r="28" ht="18" customHeight="1">
      <c r="A28" s="48" t="inlineStr">
        <is>
          <t>Июль 2025</t>
        </is>
      </c>
      <c r="B28" s="49" t="inlineStr">
        <is>
          <t>Вода</t>
        </is>
      </c>
      <c r="C28" s="50" t="n">
        <v>2733.9</v>
      </c>
      <c r="D28" s="50" t="n">
        <v>1422</v>
      </c>
      <c r="E28" s="51" t="n"/>
      <c r="F28" s="50" t="n">
        <v>0</v>
      </c>
      <c r="G28" s="50" t="n">
        <v>109</v>
      </c>
      <c r="H28" s="51" t="n"/>
      <c r="I28" s="51" t="n"/>
      <c r="J28" s="51" t="n"/>
      <c r="K28" s="51" t="n"/>
      <c r="L28" s="52" t="n">
        <v>1531</v>
      </c>
      <c r="M28" s="52" t="n">
        <v>1202.9</v>
      </c>
    </row>
    <row r="29" ht="18" customHeight="1">
      <c r="A29" s="38" t="inlineStr">
        <is>
          <t>Август 2025</t>
        </is>
      </c>
      <c r="B29" s="39" t="inlineStr">
        <is>
          <t>Отопление</t>
        </is>
      </c>
      <c r="C29" s="40" t="n">
        <v>0</v>
      </c>
      <c r="D29" s="40" t="n">
        <v>0</v>
      </c>
      <c r="E29" s="41" t="n"/>
      <c r="F29" s="41" t="n"/>
      <c r="G29" s="40" t="n">
        <v>0</v>
      </c>
      <c r="H29" s="41" t="n"/>
      <c r="I29" s="41" t="n"/>
      <c r="J29" s="41" t="n"/>
      <c r="K29" s="41" t="n"/>
      <c r="L29" s="42" t="n">
        <v>0</v>
      </c>
      <c r="M29" s="42" t="n">
        <v>0</v>
      </c>
    </row>
    <row r="30" ht="18" customHeight="1">
      <c r="A30" s="43" t="inlineStr">
        <is>
          <t>Август 2025</t>
        </is>
      </c>
      <c r="B30" s="44" t="inlineStr">
        <is>
          <t>Свет (электричество)</t>
        </is>
      </c>
      <c r="C30" s="45" t="n">
        <v>109691</v>
      </c>
      <c r="D30" s="45" t="n">
        <v>83385</v>
      </c>
      <c r="E30" s="46" t="n"/>
      <c r="F30" s="46" t="n"/>
      <c r="G30" s="45" t="n">
        <v>19154</v>
      </c>
      <c r="H30" s="46" t="n"/>
      <c r="I30" s="46" t="n"/>
      <c r="J30" s="46" t="n"/>
      <c r="K30" s="46" t="n"/>
      <c r="L30" s="47" t="n">
        <v>102539</v>
      </c>
      <c r="M30" s="47" t="n">
        <v>7152</v>
      </c>
    </row>
    <row r="31" ht="18" customHeight="1">
      <c r="A31" s="48" t="inlineStr">
        <is>
          <t>Август 2025</t>
        </is>
      </c>
      <c r="B31" s="49" t="inlineStr">
        <is>
          <t>Вода</t>
        </is>
      </c>
      <c r="C31" s="50" t="n">
        <v>2733.9</v>
      </c>
      <c r="D31" s="50" t="n">
        <v>1531</v>
      </c>
      <c r="E31" s="51" t="n"/>
      <c r="F31" s="51" t="n"/>
      <c r="G31" s="50" t="n">
        <v>109</v>
      </c>
      <c r="H31" s="51" t="n"/>
      <c r="I31" s="51" t="n"/>
      <c r="J31" s="51" t="n"/>
      <c r="K31" s="51" t="n"/>
      <c r="L31" s="52" t="n">
        <v>1640</v>
      </c>
      <c r="M31" s="52" t="n">
        <v>1093.9</v>
      </c>
    </row>
    <row r="32" ht="18" customHeight="1">
      <c r="A32" s="38" t="inlineStr">
        <is>
          <t>Сентябрь 2025</t>
        </is>
      </c>
      <c r="B32" s="39" t="inlineStr">
        <is>
          <t>Отопление</t>
        </is>
      </c>
      <c r="C32" s="40" t="n">
        <v>0</v>
      </c>
      <c r="D32" s="40" t="n">
        <v>0</v>
      </c>
      <c r="E32" s="41" t="n"/>
      <c r="F32" s="41" t="n"/>
      <c r="G32" s="40" t="n">
        <v>0</v>
      </c>
      <c r="H32" s="40" t="n">
        <v>0</v>
      </c>
      <c r="I32" s="40" t="n">
        <v>0</v>
      </c>
      <c r="J32" s="41" t="n"/>
      <c r="K32" s="41" t="n"/>
      <c r="L32" s="42" t="n">
        <v>0</v>
      </c>
      <c r="M32" s="42" t="n">
        <v>0</v>
      </c>
    </row>
    <row r="33" ht="18" customHeight="1">
      <c r="A33" s="43" t="inlineStr">
        <is>
          <t>Сентябрь 2025</t>
        </is>
      </c>
      <c r="B33" s="44" t="inlineStr">
        <is>
          <t>Свет (электричество)</t>
        </is>
      </c>
      <c r="C33" s="45" t="n">
        <v>81090</v>
      </c>
      <c r="D33" s="45" t="n">
        <v>63438</v>
      </c>
      <c r="E33" s="46" t="n"/>
      <c r="F33" s="46" t="n"/>
      <c r="G33" s="45" t="n">
        <v>15078</v>
      </c>
      <c r="H33" s="45" t="n">
        <v>1912.26</v>
      </c>
      <c r="I33" s="45" t="n">
        <v>1263.85</v>
      </c>
      <c r="J33" s="46" t="n"/>
      <c r="K33" s="46" t="n"/>
      <c r="L33" s="47" t="n">
        <v>81692.11</v>
      </c>
      <c r="M33" s="47" t="n">
        <v>-602.11</v>
      </c>
    </row>
    <row r="34" ht="18" customHeight="1">
      <c r="A34" s="48" t="inlineStr">
        <is>
          <t>Сентябрь 2025</t>
        </is>
      </c>
      <c r="B34" s="49" t="inlineStr">
        <is>
          <t>Вода</t>
        </is>
      </c>
      <c r="C34" s="50" t="n">
        <v>2733.9</v>
      </c>
      <c r="D34" s="50" t="n">
        <v>1531</v>
      </c>
      <c r="E34" s="51" t="n"/>
      <c r="F34" s="51" t="n"/>
      <c r="G34" s="50" t="n">
        <v>109</v>
      </c>
      <c r="H34" s="50" t="n">
        <v>0</v>
      </c>
      <c r="I34" s="50" t="n">
        <v>875</v>
      </c>
      <c r="J34" s="51" t="n"/>
      <c r="K34" s="51" t="n"/>
      <c r="L34" s="52" t="n">
        <v>2515</v>
      </c>
      <c r="M34" s="52" t="n">
        <v>218.9</v>
      </c>
    </row>
    <row r="35" ht="18" customHeight="1">
      <c r="A35" s="38" t="inlineStr">
        <is>
          <t>Октябрь 2025</t>
        </is>
      </c>
      <c r="B35" s="39" t="inlineStr">
        <is>
          <t>Отопление</t>
        </is>
      </c>
      <c r="C35" s="40" t="n">
        <v>18971</v>
      </c>
      <c r="D35" s="40" t="n">
        <v>4684</v>
      </c>
      <c r="E35" s="41" t="n"/>
      <c r="F35" s="41" t="n"/>
      <c r="G35" s="40" t="n">
        <v>949</v>
      </c>
      <c r="H35" s="40" t="n">
        <v>938</v>
      </c>
      <c r="I35" s="40" t="n">
        <v>0</v>
      </c>
      <c r="J35" s="40" t="n">
        <v>7105</v>
      </c>
      <c r="K35" s="41" t="n"/>
      <c r="L35" s="42" t="n">
        <v>13676</v>
      </c>
      <c r="M35" s="42" t="n">
        <v>5295</v>
      </c>
    </row>
    <row r="36" ht="18" customHeight="1">
      <c r="A36" s="43" t="inlineStr">
        <is>
          <t>Октябрь 2025</t>
        </is>
      </c>
      <c r="B36" s="44" t="inlineStr">
        <is>
          <t>Свет (электричество)</t>
        </is>
      </c>
      <c r="C36" s="45" t="n">
        <v>111437</v>
      </c>
      <c r="D36" s="45" t="n">
        <v>51494</v>
      </c>
      <c r="E36" s="46" t="n"/>
      <c r="F36" s="46" t="n"/>
      <c r="G36" s="45" t="n">
        <v>13369</v>
      </c>
      <c r="H36" s="45" t="n">
        <v>2029</v>
      </c>
      <c r="I36" s="45" t="n">
        <v>1263</v>
      </c>
      <c r="J36" s="45" t="n">
        <v>26781</v>
      </c>
      <c r="K36" s="46" t="n"/>
      <c r="L36" s="47" t="n">
        <v>94936</v>
      </c>
      <c r="M36" s="47" t="n">
        <v>16501</v>
      </c>
    </row>
    <row r="37" ht="18" customHeight="1">
      <c r="A37" s="48" t="inlineStr">
        <is>
          <t>Октябрь 2025</t>
        </is>
      </c>
      <c r="B37" s="49" t="inlineStr">
        <is>
          <t>Вода</t>
        </is>
      </c>
      <c r="C37" s="50" t="n">
        <v>2733.6</v>
      </c>
      <c r="D37" s="50" t="n">
        <v>1312</v>
      </c>
      <c r="E37" s="51" t="n"/>
      <c r="F37" s="51" t="n"/>
      <c r="G37" s="50" t="n">
        <v>219</v>
      </c>
      <c r="H37" s="50" t="n">
        <v>0</v>
      </c>
      <c r="I37" s="50" t="n">
        <v>874</v>
      </c>
      <c r="J37" s="50" t="n">
        <v>437</v>
      </c>
      <c r="K37" s="51" t="n"/>
      <c r="L37" s="52" t="n">
        <v>2842</v>
      </c>
      <c r="M37" s="52" t="n">
        <v>-108.4</v>
      </c>
    </row>
    <row r="38" ht="18" customHeight="1">
      <c r="A38" s="38" t="inlineStr">
        <is>
          <t>Ноябрь 2025</t>
        </is>
      </c>
      <c r="B38" s="39" t="inlineStr">
        <is>
          <t>Отопление</t>
        </is>
      </c>
      <c r="C38" s="40" t="n">
        <v>40919</v>
      </c>
      <c r="D38" s="40" t="n">
        <v>14238</v>
      </c>
      <c r="E38" s="41" t="n"/>
      <c r="F38" s="41" t="n"/>
      <c r="G38" s="40" t="n">
        <v>2046</v>
      </c>
      <c r="H38" s="40" t="n">
        <v>1285</v>
      </c>
      <c r="I38" s="40" t="n">
        <v>0</v>
      </c>
      <c r="J38" s="40" t="n">
        <v>15323</v>
      </c>
      <c r="K38" s="40" t="n">
        <v>220</v>
      </c>
      <c r="L38" s="42" t="n">
        <v>33112</v>
      </c>
      <c r="M38" s="42" t="n">
        <v>7807</v>
      </c>
    </row>
    <row r="39" ht="18" customHeight="1">
      <c r="A39" s="43" t="inlineStr">
        <is>
          <t>Ноябрь 2025</t>
        </is>
      </c>
      <c r="B39" s="44" t="inlineStr">
        <is>
          <t>Свет (электричество)</t>
        </is>
      </c>
      <c r="C39" s="45" t="n">
        <v>161060</v>
      </c>
      <c r="D39" s="45" t="n">
        <v>70728</v>
      </c>
      <c r="E39" s="46" t="n"/>
      <c r="F39" s="46" t="n"/>
      <c r="G39" s="45" t="n">
        <v>15751</v>
      </c>
      <c r="H39" s="45" t="n">
        <v>1599</v>
      </c>
      <c r="I39" s="45" t="n">
        <v>2349</v>
      </c>
      <c r="J39" s="45" t="n">
        <v>66124</v>
      </c>
      <c r="K39" s="45" t="n">
        <v>5162</v>
      </c>
      <c r="L39" s="47" t="n">
        <v>161713</v>
      </c>
      <c r="M39" s="47" t="n">
        <v>-653</v>
      </c>
    </row>
    <row r="40" ht="18" customHeight="1">
      <c r="A40" s="48" t="inlineStr">
        <is>
          <t>Ноябрь 2025</t>
        </is>
      </c>
      <c r="B40" s="49" t="inlineStr">
        <is>
          <t>Вода</t>
        </is>
      </c>
      <c r="C40" s="50" t="n">
        <v>2733.6</v>
      </c>
      <c r="D40" s="50" t="n">
        <v>1640</v>
      </c>
      <c r="E40" s="51" t="n"/>
      <c r="F40" s="51" t="n"/>
      <c r="G40" s="50" t="n">
        <v>307</v>
      </c>
      <c r="H40" s="50" t="n">
        <v>0</v>
      </c>
      <c r="I40" s="50" t="n">
        <v>218</v>
      </c>
      <c r="J40" s="50" t="n">
        <v>437</v>
      </c>
      <c r="K40" s="50" t="n">
        <v>130</v>
      </c>
      <c r="L40" s="52" t="n">
        <v>2732</v>
      </c>
      <c r="M40" s="52" t="n">
        <v>1.6</v>
      </c>
    </row>
    <row r="41" ht="18" customHeight="1">
      <c r="A41" s="38" t="inlineStr">
        <is>
          <t>Декабрь 2025</t>
        </is>
      </c>
      <c r="B41" s="39" t="inlineStr">
        <is>
          <t>Отопление</t>
        </is>
      </c>
      <c r="C41" s="40" t="n">
        <v>78178</v>
      </c>
      <c r="D41" s="40" t="n">
        <v>22716</v>
      </c>
      <c r="E41" s="41" t="n"/>
      <c r="F41" s="41" t="n"/>
      <c r="G41" s="40" t="n">
        <v>3908</v>
      </c>
      <c r="H41" s="40" t="n">
        <v>1732</v>
      </c>
      <c r="I41" s="40" t="n">
        <v>0</v>
      </c>
      <c r="J41" s="40" t="n">
        <v>29275</v>
      </c>
      <c r="K41" s="40" t="n">
        <v>297</v>
      </c>
      <c r="L41" s="42" t="n">
        <v>57928</v>
      </c>
      <c r="M41" s="42" t="n">
        <v>20250</v>
      </c>
    </row>
    <row r="42" ht="18" customHeight="1">
      <c r="A42" s="43" t="inlineStr">
        <is>
          <t>Декабрь 2025</t>
        </is>
      </c>
      <c r="B42" s="44" t="inlineStr">
        <is>
          <t>Свет (электричество)</t>
        </is>
      </c>
      <c r="C42" s="45" t="n">
        <v>158400</v>
      </c>
      <c r="D42" s="45" t="n">
        <v>68212</v>
      </c>
      <c r="E42" s="46" t="n"/>
      <c r="F42" s="46" t="n"/>
      <c r="G42" s="45" t="n">
        <v>13868</v>
      </c>
      <c r="H42" s="45" t="n">
        <v>1636</v>
      </c>
      <c r="I42" s="45" t="n">
        <v>2978</v>
      </c>
      <c r="J42" s="45" t="n">
        <v>59566</v>
      </c>
      <c r="K42" s="45" t="n">
        <v>3470</v>
      </c>
      <c r="L42" s="47" t="n">
        <v>149730</v>
      </c>
      <c r="M42" s="47" t="n">
        <v>8670</v>
      </c>
    </row>
    <row r="43" ht="18" customHeight="1">
      <c r="A43" s="48" t="inlineStr">
        <is>
          <t>Декабрь 2025</t>
        </is>
      </c>
      <c r="B43" s="49" t="inlineStr">
        <is>
          <t>Вода</t>
        </is>
      </c>
      <c r="C43" s="50" t="n">
        <v>3280.68</v>
      </c>
      <c r="D43" s="50" t="n">
        <v>1312</v>
      </c>
      <c r="E43" s="51" t="n"/>
      <c r="F43" s="51" t="n"/>
      <c r="G43" s="50" t="n">
        <v>219</v>
      </c>
      <c r="H43" s="50" t="n">
        <v>0</v>
      </c>
      <c r="I43" s="50" t="n">
        <v>219</v>
      </c>
      <c r="J43" s="50" t="n">
        <v>547</v>
      </c>
      <c r="K43" s="50" t="n">
        <v>219</v>
      </c>
      <c r="L43" s="52" t="n">
        <v>2516</v>
      </c>
      <c r="M43" s="52" t="n">
        <v>764.6799999999999</v>
      </c>
    </row>
    <row r="44" ht="18" customHeight="1">
      <c r="A44" s="38" t="inlineStr">
        <is>
          <t>Январь 2026</t>
        </is>
      </c>
      <c r="B44" s="39" t="inlineStr">
        <is>
          <t>Отопление</t>
        </is>
      </c>
      <c r="C44" s="40" t="n">
        <v>78560.08</v>
      </c>
      <c r="D44" s="40" t="n">
        <v>32256</v>
      </c>
      <c r="E44" s="41" t="n"/>
      <c r="F44" s="41" t="n"/>
      <c r="G44" s="40" t="n">
        <v>3928</v>
      </c>
      <c r="H44" s="40" t="n">
        <v>1740</v>
      </c>
      <c r="I44" s="40" t="n">
        <v>0</v>
      </c>
      <c r="J44" s="40" t="n">
        <v>29420</v>
      </c>
      <c r="K44" s="40" t="n">
        <v>299</v>
      </c>
      <c r="L44" s="42" t="n">
        <v>67643</v>
      </c>
      <c r="M44" s="42" t="n">
        <v>10917.08</v>
      </c>
    </row>
    <row r="45" ht="18" customHeight="1">
      <c r="A45" s="43" t="inlineStr">
        <is>
          <t>Январь 2026</t>
        </is>
      </c>
      <c r="B45" s="44" t="inlineStr">
        <is>
          <t>Свет (электричество)</t>
        </is>
      </c>
      <c r="C45" s="45" t="n">
        <v>151790</v>
      </c>
      <c r="D45" s="45" t="n">
        <v>65111</v>
      </c>
      <c r="E45" s="46" t="n"/>
      <c r="F45" s="46" t="n"/>
      <c r="G45" s="45" t="n">
        <v>15404</v>
      </c>
      <c r="H45" s="45" t="n">
        <v>1890</v>
      </c>
      <c r="I45" s="45" t="n">
        <v>3171</v>
      </c>
      <c r="J45" s="45" t="n">
        <v>56488</v>
      </c>
      <c r="K45" s="45" t="n">
        <v>3702</v>
      </c>
      <c r="L45" s="47" t="n">
        <v>145766</v>
      </c>
      <c r="M45" s="47" t="n">
        <v>6024</v>
      </c>
    </row>
    <row r="46" ht="18" customHeight="1">
      <c r="A46" s="48" t="inlineStr">
        <is>
          <t>Январь 2026</t>
        </is>
      </c>
      <c r="B46" s="49" t="inlineStr">
        <is>
          <t>Вода</t>
        </is>
      </c>
      <c r="C46" s="50" t="n">
        <v>2445.39</v>
      </c>
      <c r="D46" s="50" t="n">
        <v>1112</v>
      </c>
      <c r="E46" s="51" t="n"/>
      <c r="F46" s="51" t="n"/>
      <c r="G46" s="50" t="n">
        <v>222</v>
      </c>
      <c r="H46" s="50" t="n">
        <v>0</v>
      </c>
      <c r="I46" s="50" t="n">
        <v>112</v>
      </c>
      <c r="J46" s="50" t="n">
        <v>556</v>
      </c>
      <c r="K46" s="50" t="n">
        <v>222</v>
      </c>
      <c r="L46" s="52" t="n">
        <v>2224</v>
      </c>
      <c r="M46" s="52" t="n">
        <v>221.39</v>
      </c>
    </row>
    <row r="47" ht="18" customHeight="1">
      <c r="A47" s="38" t="inlineStr">
        <is>
          <t>Февраль 2026</t>
        </is>
      </c>
      <c r="B47" s="39" t="inlineStr">
        <is>
          <t>Отопление</t>
        </is>
      </c>
      <c r="C47" s="40" t="n">
        <v>71727.07000000001</v>
      </c>
      <c r="D47" s="40" t="n">
        <v>29149</v>
      </c>
      <c r="E47" s="41" t="n"/>
      <c r="F47" s="41" t="n"/>
      <c r="G47" s="40" t="n">
        <v>3586</v>
      </c>
      <c r="H47" s="40" t="n">
        <v>1594</v>
      </c>
      <c r="I47" s="40" t="n">
        <v>0</v>
      </c>
      <c r="J47" s="40" t="n">
        <v>26860</v>
      </c>
      <c r="K47" s="40" t="n">
        <v>273</v>
      </c>
      <c r="L47" s="42" t="n">
        <v>61462</v>
      </c>
      <c r="M47" s="42" t="n">
        <v>10265.07</v>
      </c>
    </row>
    <row r="48" ht="18" customHeight="1">
      <c r="A48" s="43" t="inlineStr">
        <is>
          <t>Февраль 2026</t>
        </is>
      </c>
      <c r="B48" s="44" t="inlineStr">
        <is>
          <t>Свет (электричество)</t>
        </is>
      </c>
      <c r="C48" s="45" t="n">
        <v>174213</v>
      </c>
      <c r="D48" s="45" t="n">
        <v>75644</v>
      </c>
      <c r="E48" s="46" t="n"/>
      <c r="F48" s="46" t="n"/>
      <c r="G48" s="45" t="n">
        <v>21249</v>
      </c>
      <c r="H48" s="45" t="n">
        <v>1552</v>
      </c>
      <c r="I48" s="45" t="n">
        <v>3266</v>
      </c>
      <c r="J48" s="45" t="n">
        <v>64616</v>
      </c>
      <c r="K48" s="45" t="n">
        <v>4609</v>
      </c>
      <c r="L48" s="47" t="n">
        <v>170936</v>
      </c>
      <c r="M48" s="47" t="n">
        <v>3277</v>
      </c>
    </row>
    <row r="49" ht="18" customHeight="1">
      <c r="A49" s="48" t="inlineStr">
        <is>
          <t>Февраль 2026</t>
        </is>
      </c>
      <c r="B49" s="49" t="inlineStr">
        <is>
          <t>Вода</t>
        </is>
      </c>
      <c r="C49" s="50" t="n">
        <v>2779.47</v>
      </c>
      <c r="D49" s="50" t="n">
        <v>1332</v>
      </c>
      <c r="E49" s="51" t="n"/>
      <c r="F49" s="51" t="n"/>
      <c r="G49" s="50" t="n">
        <v>222</v>
      </c>
      <c r="H49" s="50" t="n">
        <v>0</v>
      </c>
      <c r="I49" s="50" t="n">
        <v>111</v>
      </c>
      <c r="J49" s="50" t="n">
        <v>444</v>
      </c>
      <c r="K49" s="50" t="n">
        <v>222</v>
      </c>
      <c r="L49" s="52" t="n">
        <v>2331</v>
      </c>
      <c r="M49" s="52" t="n">
        <v>448.47</v>
      </c>
    </row>
    <row r="50" ht="18" customHeight="1">
      <c r="A50" s="38" t="inlineStr">
        <is>
          <t>Март 2026</t>
        </is>
      </c>
      <c r="B50" s="39" t="inlineStr">
        <is>
          <t>Отопление</t>
        </is>
      </c>
      <c r="C50" s="40" t="n">
        <v>44241.51</v>
      </c>
      <c r="D50" s="40" t="n">
        <v>28613</v>
      </c>
      <c r="E50" s="41" t="n"/>
      <c r="F50" s="41" t="n"/>
      <c r="G50" s="40" t="n">
        <v>2212.08</v>
      </c>
      <c r="H50" s="40" t="n">
        <v>980</v>
      </c>
      <c r="I50" s="40" t="n">
        <v>0</v>
      </c>
      <c r="J50" s="40" t="n">
        <v>16580</v>
      </c>
      <c r="K50" s="40" t="n">
        <v>168</v>
      </c>
      <c r="L50" s="42" t="n">
        <v>48553.08</v>
      </c>
      <c r="M50" s="42" t="n">
        <v>-4311.57</v>
      </c>
    </row>
    <row r="51" ht="18" customHeight="1">
      <c r="A51" s="43" t="inlineStr">
        <is>
          <t>Март 2026</t>
        </is>
      </c>
      <c r="B51" s="44" t="inlineStr">
        <is>
          <t>Свет (электричество)</t>
        </is>
      </c>
      <c r="C51" s="45" t="n">
        <v>164677</v>
      </c>
      <c r="D51" s="45" t="n">
        <v>55834</v>
      </c>
      <c r="E51" s="46" t="n"/>
      <c r="F51" s="46" t="n"/>
      <c r="G51" s="45" t="n">
        <v>12927</v>
      </c>
      <c r="H51" s="45" t="n">
        <v>1392</v>
      </c>
      <c r="I51" s="45" t="n">
        <v>1833</v>
      </c>
      <c r="J51" s="45" t="n">
        <v>56781</v>
      </c>
      <c r="K51" s="45" t="n">
        <v>2818</v>
      </c>
      <c r="L51" s="47" t="n">
        <v>131585</v>
      </c>
      <c r="M51" s="47" t="n">
        <v>33092</v>
      </c>
    </row>
    <row r="52" ht="18" customHeight="1">
      <c r="A52" s="48" t="inlineStr">
        <is>
          <t>Март 2026</t>
        </is>
      </c>
      <c r="B52" s="49" t="inlineStr">
        <is>
          <t>Вода</t>
        </is>
      </c>
      <c r="C52" s="50" t="n">
        <v>3113</v>
      </c>
      <c r="D52" s="50" t="n">
        <v>1110</v>
      </c>
      <c r="E52" s="51" t="n"/>
      <c r="F52" s="51" t="n"/>
      <c r="G52" s="50" t="n">
        <v>1555</v>
      </c>
      <c r="H52" s="50" t="n">
        <v>0</v>
      </c>
      <c r="I52" s="50" t="n">
        <v>332</v>
      </c>
      <c r="J52" s="50" t="n">
        <v>554</v>
      </c>
      <c r="K52" s="50" t="n">
        <v>348</v>
      </c>
      <c r="L52" s="52" t="n">
        <v>3899</v>
      </c>
      <c r="M52" s="52" t="n">
        <v>-786</v>
      </c>
    </row>
    <row r="53" ht="18" customHeight="1">
      <c r="A53" s="38" t="inlineStr">
        <is>
          <t>Апрель 2026</t>
        </is>
      </c>
      <c r="B53" s="39" t="inlineStr">
        <is>
          <t>Отопление</t>
        </is>
      </c>
      <c r="C53" s="40" t="n">
        <v>25567.97</v>
      </c>
      <c r="D53" s="40" t="n">
        <v>18961</v>
      </c>
      <c r="E53" s="41" t="n"/>
      <c r="F53" s="41" t="n"/>
      <c r="G53" s="40" t="n">
        <v>1278</v>
      </c>
      <c r="H53" s="40" t="n">
        <v>566</v>
      </c>
      <c r="I53" s="40" t="n">
        <v>0</v>
      </c>
      <c r="J53" s="40" t="n">
        <v>9574</v>
      </c>
      <c r="K53" s="40" t="n">
        <v>97</v>
      </c>
      <c r="L53" s="42" t="n">
        <v>30476</v>
      </c>
      <c r="M53" s="42" t="n">
        <v>-4908.03</v>
      </c>
    </row>
    <row r="54" ht="18" customHeight="1">
      <c r="A54" s="43" t="inlineStr">
        <is>
          <t>Апрель 2026</t>
        </is>
      </c>
      <c r="B54" s="44" t="inlineStr">
        <is>
          <t>Свет (электричество)</t>
        </is>
      </c>
      <c r="C54" s="45" t="n">
        <v>133379</v>
      </c>
      <c r="D54" s="45" t="n">
        <v>56677</v>
      </c>
      <c r="E54" s="46" t="n"/>
      <c r="F54" s="46" t="n"/>
      <c r="G54" s="45" t="n">
        <v>14380</v>
      </c>
      <c r="H54" s="45" t="n">
        <v>1958</v>
      </c>
      <c r="I54" s="45" t="n">
        <v>1168</v>
      </c>
      <c r="J54" s="45" t="n">
        <v>66658</v>
      </c>
      <c r="K54" s="45" t="n">
        <v>2938</v>
      </c>
      <c r="L54" s="47" t="n">
        <v>143779</v>
      </c>
      <c r="M54" s="47" t="n">
        <v>-10400</v>
      </c>
    </row>
    <row r="55" ht="18" customHeight="1">
      <c r="A55" s="48" t="inlineStr">
        <is>
          <t>Апрель 2026</t>
        </is>
      </c>
      <c r="B55" s="49" t="inlineStr">
        <is>
          <t>Вода</t>
        </is>
      </c>
      <c r="C55" s="50" t="n">
        <v>3479</v>
      </c>
      <c r="D55" s="50" t="n">
        <v>1444</v>
      </c>
      <c r="E55" s="51" t="n"/>
      <c r="F55" s="51" t="n"/>
      <c r="G55" s="50" t="n">
        <v>444</v>
      </c>
      <c r="H55" s="50" t="n">
        <v>0</v>
      </c>
      <c r="I55" s="50" t="n">
        <v>444</v>
      </c>
      <c r="J55" s="50" t="n">
        <v>777</v>
      </c>
      <c r="K55" s="50" t="n">
        <v>219</v>
      </c>
      <c r="L55" s="52" t="n">
        <v>3328</v>
      </c>
      <c r="M55" s="52" t="n">
        <v>151</v>
      </c>
    </row>
    <row r="56" ht="18" customHeight="1">
      <c r="A56" s="38" t="inlineStr">
        <is>
          <t>Май 2026</t>
        </is>
      </c>
      <c r="B56" s="39" t="inlineStr">
        <is>
          <t>Отопление</t>
        </is>
      </c>
      <c r="C56" s="40" t="n">
        <v>0</v>
      </c>
      <c r="D56" s="40" t="n">
        <v>0</v>
      </c>
      <c r="E56" s="41" t="n"/>
      <c r="F56" s="41" t="n"/>
      <c r="G56" s="40" t="n">
        <v>0</v>
      </c>
      <c r="H56" s="40" t="n">
        <v>0</v>
      </c>
      <c r="I56" s="40" t="n">
        <v>0</v>
      </c>
      <c r="J56" s="40" t="n">
        <v>0</v>
      </c>
      <c r="K56" s="40" t="n">
        <v>0</v>
      </c>
      <c r="L56" s="42" t="n">
        <v>0</v>
      </c>
      <c r="M56" s="42" t="n">
        <v>0</v>
      </c>
    </row>
    <row r="57" ht="18" customHeight="1">
      <c r="A57" s="43" t="inlineStr">
        <is>
          <t>Май 2026</t>
        </is>
      </c>
      <c r="B57" s="44" t="inlineStr">
        <is>
          <t>Свет (электричество)</t>
        </is>
      </c>
      <c r="C57" s="45" t="n">
        <v>184738</v>
      </c>
      <c r="D57" s="45" t="n">
        <v>64025</v>
      </c>
      <c r="E57" s="46" t="n"/>
      <c r="F57" s="46" t="n"/>
      <c r="G57" s="45" t="n">
        <v>15896</v>
      </c>
      <c r="H57" s="45" t="n">
        <v>2188</v>
      </c>
      <c r="I57" s="45" t="n">
        <v>678</v>
      </c>
      <c r="J57" s="45" t="n">
        <v>70060</v>
      </c>
      <c r="K57" s="45" t="n">
        <v>3413</v>
      </c>
      <c r="L57" s="47" t="n">
        <v>156260</v>
      </c>
      <c r="M57" s="47" t="n">
        <v>28478</v>
      </c>
    </row>
    <row r="58" ht="18" customHeight="1">
      <c r="A58" s="48" t="inlineStr">
        <is>
          <t>Май 2026</t>
        </is>
      </c>
      <c r="B58" s="49" t="inlineStr">
        <is>
          <t>Вода</t>
        </is>
      </c>
      <c r="C58" s="50" t="n">
        <v>4557.92</v>
      </c>
      <c r="D58" s="50" t="n">
        <v>1334</v>
      </c>
      <c r="E58" s="51" t="n"/>
      <c r="F58" s="51" t="n"/>
      <c r="G58" s="50" t="n">
        <v>444</v>
      </c>
      <c r="H58" s="50" t="n">
        <v>0</v>
      </c>
      <c r="I58" s="50" t="n">
        <v>444</v>
      </c>
      <c r="J58" s="50" t="n">
        <v>666</v>
      </c>
      <c r="K58" s="50" t="n">
        <v>333</v>
      </c>
      <c r="L58" s="52" t="n">
        <v>3221</v>
      </c>
      <c r="M58" s="52" t="n">
        <v>1336.92</v>
      </c>
    </row>
    <row r="59" ht="18" customHeight="1">
      <c r="A59" s="38" t="inlineStr">
        <is>
          <t>Июнь 2026</t>
        </is>
      </c>
      <c r="B59" s="39" t="inlineStr">
        <is>
          <t>Отопление</t>
        </is>
      </c>
      <c r="C59" s="40" t="n">
        <v>0</v>
      </c>
      <c r="D59" s="40" t="n">
        <v>0</v>
      </c>
      <c r="E59" s="41" t="n"/>
      <c r="F59" s="41" t="n"/>
      <c r="G59" s="40" t="n">
        <v>0</v>
      </c>
      <c r="H59" s="40" t="n">
        <v>0</v>
      </c>
      <c r="I59" s="40" t="n">
        <v>0</v>
      </c>
      <c r="J59" s="40" t="n">
        <v>0</v>
      </c>
      <c r="K59" s="40" t="n">
        <v>0</v>
      </c>
      <c r="L59" s="42" t="n">
        <v>0</v>
      </c>
      <c r="M59" s="42" t="n">
        <v>0</v>
      </c>
    </row>
    <row r="60" ht="18" customHeight="1">
      <c r="A60" s="43" t="inlineStr">
        <is>
          <t>Июнь 2026</t>
        </is>
      </c>
      <c r="B60" s="44" t="inlineStr">
        <is>
          <t>Свет (электричество)</t>
        </is>
      </c>
      <c r="C60" s="45" t="n">
        <v>155822</v>
      </c>
      <c r="D60" s="45" t="n">
        <v>62854</v>
      </c>
      <c r="E60" s="46" t="n"/>
      <c r="F60" s="46" t="n"/>
      <c r="G60" s="45" t="n">
        <v>16090</v>
      </c>
      <c r="H60" s="45" t="n">
        <v>1556</v>
      </c>
      <c r="I60" s="45" t="n">
        <v>278</v>
      </c>
      <c r="J60" s="45" t="n">
        <v>75504</v>
      </c>
      <c r="K60" s="45" t="n">
        <v>3415</v>
      </c>
      <c r="L60" s="47" t="n">
        <v>159697</v>
      </c>
      <c r="M60" s="47" t="n">
        <v>-3875</v>
      </c>
    </row>
    <row r="61" ht="18" customHeight="1">
      <c r="A61" s="48" t="inlineStr">
        <is>
          <t>Июнь 2026</t>
        </is>
      </c>
      <c r="B61" s="49" t="inlineStr">
        <is>
          <t>Вода</t>
        </is>
      </c>
      <c r="C61" s="50" t="n">
        <v>2001</v>
      </c>
      <c r="D61" s="50" t="n">
        <v>1224</v>
      </c>
      <c r="E61" s="51" t="n"/>
      <c r="F61" s="51" t="n"/>
      <c r="G61" s="50" t="n">
        <v>445</v>
      </c>
      <c r="H61" s="50" t="n">
        <v>0</v>
      </c>
      <c r="I61" s="50" t="n">
        <v>889</v>
      </c>
      <c r="J61" s="50" t="n">
        <v>556</v>
      </c>
      <c r="K61" s="50" t="n">
        <v>890</v>
      </c>
      <c r="L61" s="52" t="n">
        <v>4004</v>
      </c>
      <c r="M61" s="52" t="n">
        <v>-2003</v>
      </c>
    </row>
    <row r="62" ht="18" customHeight="1">
      <c r="A62" s="38" t="inlineStr">
        <is>
          <t>Июль 2026</t>
        </is>
      </c>
      <c r="B62" s="39" t="inlineStr">
        <is>
          <t>Отопление</t>
        </is>
      </c>
      <c r="C62" s="40" t="n">
        <v>0</v>
      </c>
      <c r="D62" s="40" t="n">
        <v>0</v>
      </c>
      <c r="E62" s="41" t="n"/>
      <c r="F62" s="41" t="n"/>
      <c r="G62" s="40" t="n">
        <v>0</v>
      </c>
      <c r="H62" s="40" t="n">
        <v>0</v>
      </c>
      <c r="I62" s="40" t="n">
        <v>0</v>
      </c>
      <c r="J62" s="40" t="n">
        <v>0</v>
      </c>
      <c r="K62" s="40" t="n">
        <v>0</v>
      </c>
      <c r="L62" s="42" t="n">
        <v>0</v>
      </c>
      <c r="M62" s="42" t="n">
        <v>0</v>
      </c>
    </row>
    <row r="63" ht="18" customHeight="1">
      <c r="A63" s="43" t="inlineStr">
        <is>
          <t>Июль 2026</t>
        </is>
      </c>
      <c r="B63" s="44" t="inlineStr">
        <is>
          <t>Свет (электричество)</t>
        </is>
      </c>
      <c r="C63" s="45" t="n">
        <v>153460</v>
      </c>
      <c r="D63" s="45" t="n">
        <v>61045</v>
      </c>
      <c r="E63" s="46" t="n"/>
      <c r="F63" s="46" t="n"/>
      <c r="G63" s="45" t="n">
        <v>14569</v>
      </c>
      <c r="H63" s="45" t="n">
        <v>1814</v>
      </c>
      <c r="I63" s="45" t="n">
        <v>205</v>
      </c>
      <c r="J63" s="45" t="n">
        <v>70967</v>
      </c>
      <c r="K63" s="45" t="n">
        <v>2157</v>
      </c>
      <c r="L63" s="47" t="n">
        <v>150757</v>
      </c>
      <c r="M63" s="47" t="n">
        <v>2703</v>
      </c>
    </row>
    <row r="64" ht="18" customHeight="1">
      <c r="A64" s="48" t="inlineStr">
        <is>
          <t>Июль 2026</t>
        </is>
      </c>
      <c r="B64" s="49" t="inlineStr">
        <is>
          <t>Вода</t>
        </is>
      </c>
      <c r="C64" s="50" t="n">
        <v>2001</v>
      </c>
      <c r="D64" s="50" t="n">
        <v>1112</v>
      </c>
      <c r="E64" s="51" t="n"/>
      <c r="F64" s="51" t="n"/>
      <c r="G64" s="50" t="n">
        <v>222</v>
      </c>
      <c r="H64" s="50" t="n">
        <v>0</v>
      </c>
      <c r="I64" s="50" t="n">
        <v>667</v>
      </c>
      <c r="J64" s="50" t="n">
        <v>556</v>
      </c>
      <c r="K64" s="50" t="n">
        <v>444</v>
      </c>
      <c r="L64" s="52" t="n">
        <v>3001</v>
      </c>
      <c r="M64" s="52" t="n">
        <v>-1000</v>
      </c>
    </row>
    <row r="65" ht="18" customHeight="1">
      <c r="A65" s="38" t="inlineStr">
        <is>
          <t>Август 2026</t>
        </is>
      </c>
      <c r="B65" s="39" t="inlineStr">
        <is>
          <t>Отопление</t>
        </is>
      </c>
      <c r="C65" s="40" t="n">
        <v>0</v>
      </c>
      <c r="D65" s="40" t="n">
        <v>0</v>
      </c>
      <c r="E65" s="41" t="n"/>
      <c r="F65" s="41" t="n"/>
      <c r="G65" s="40" t="n">
        <v>0</v>
      </c>
      <c r="H65" s="40" t="n">
        <v>0</v>
      </c>
      <c r="I65" s="40" t="n">
        <v>0</v>
      </c>
      <c r="J65" s="40" t="n">
        <v>0</v>
      </c>
      <c r="K65" s="40" t="n">
        <v>0</v>
      </c>
      <c r="L65" s="42" t="n">
        <v>0</v>
      </c>
      <c r="M65" s="42" t="n">
        <v>0</v>
      </c>
    </row>
    <row r="66" ht="18" customHeight="1">
      <c r="A66" s="43" t="inlineStr">
        <is>
          <t>Август 2026</t>
        </is>
      </c>
      <c r="B66" s="44" t="inlineStr">
        <is>
          <t>Свет (электричество)</t>
        </is>
      </c>
      <c r="C66" s="45" t="n">
        <v>158604</v>
      </c>
      <c r="D66" s="45" t="n">
        <v>67181</v>
      </c>
      <c r="E66" s="46" t="n"/>
      <c r="F66" s="46" t="n"/>
      <c r="G66" s="45" t="n">
        <v>14974</v>
      </c>
      <c r="H66" s="45" t="n">
        <v>1865</v>
      </c>
      <c r="I66" s="45" t="n">
        <v>211</v>
      </c>
      <c r="J66" s="45" t="n">
        <v>72938</v>
      </c>
      <c r="K66" s="45" t="n">
        <v>2375</v>
      </c>
      <c r="L66" s="47" t="n">
        <v>159544</v>
      </c>
      <c r="M66" s="47" t="n">
        <v>-940</v>
      </c>
    </row>
    <row r="67" ht="18" customHeight="1">
      <c r="A67" s="48" t="inlineStr">
        <is>
          <t>Август 2026</t>
        </is>
      </c>
      <c r="B67" s="49" t="inlineStr">
        <is>
          <t>Вода</t>
        </is>
      </c>
      <c r="C67" s="50" t="n">
        <v>5225</v>
      </c>
      <c r="D67" s="50" t="n">
        <v>1112</v>
      </c>
      <c r="E67" s="51" t="n"/>
      <c r="F67" s="51" t="n"/>
      <c r="G67" s="50" t="n">
        <v>222</v>
      </c>
      <c r="H67" s="50" t="n">
        <v>0</v>
      </c>
      <c r="I67" s="50" t="n">
        <v>667</v>
      </c>
      <c r="J67" s="50" t="n">
        <v>556</v>
      </c>
      <c r="K67" s="50" t="n">
        <v>444</v>
      </c>
      <c r="L67" s="52" t="n">
        <v>3001</v>
      </c>
      <c r="M67" s="52" t="n">
        <v>2224</v>
      </c>
    </row>
    <row r="69" ht="22" customHeight="1">
      <c r="A69" s="53" t="inlineStr">
        <is>
          <t>Итого отопление</t>
        </is>
      </c>
      <c r="B69" s="53" t="inlineStr">
        <is>
          <t>Отопление</t>
        </is>
      </c>
      <c r="C69" s="54" t="n">
        <v>624534.63</v>
      </c>
      <c r="D69" s="54" t="n">
        <v>270347</v>
      </c>
      <c r="E69" s="54" t="n">
        <v>62013</v>
      </c>
      <c r="F69" s="54" t="n">
        <v>3245</v>
      </c>
      <c r="G69" s="54" t="n">
        <v>17907.08</v>
      </c>
      <c r="H69" s="54" t="n">
        <v>8835</v>
      </c>
      <c r="I69" s="54" t="n">
        <v>0</v>
      </c>
      <c r="J69" s="54" t="n">
        <v>134137</v>
      </c>
      <c r="K69" s="54" t="n">
        <v>1354</v>
      </c>
      <c r="L69" s="54" t="n">
        <v>497838.08</v>
      </c>
      <c r="M69" s="54" t="n">
        <v>126696.55</v>
      </c>
    </row>
    <row r="70" ht="22" customHeight="1">
      <c r="A70" s="55" t="inlineStr">
        <is>
          <t>Итого свет</t>
        </is>
      </c>
      <c r="B70" s="55" t="inlineStr">
        <is>
          <t>Свет (электричество)</t>
        </is>
      </c>
      <c r="C70" s="56" t="n">
        <v>2493442</v>
      </c>
      <c r="D70" s="56" t="n">
        <v>1278357</v>
      </c>
      <c r="E70" s="56" t="n">
        <v>64990</v>
      </c>
      <c r="F70" s="56" t="n">
        <v>6986</v>
      </c>
      <c r="G70" s="56" t="n">
        <v>207696</v>
      </c>
      <c r="H70" s="56" t="n">
        <v>21391.26</v>
      </c>
      <c r="I70" s="56" t="n">
        <v>18663.85</v>
      </c>
      <c r="J70" s="56" t="n">
        <v>686483</v>
      </c>
      <c r="K70" s="56" t="n">
        <v>34059</v>
      </c>
      <c r="L70" s="56" t="n">
        <v>2318626.11</v>
      </c>
      <c r="M70" s="56" t="n">
        <v>174815.89</v>
      </c>
    </row>
    <row r="71" ht="22" customHeight="1">
      <c r="A71" s="57" t="inlineStr">
        <is>
          <t>Итого вода</t>
        </is>
      </c>
      <c r="B71" s="57" t="inlineStr">
        <is>
          <t>Вода</t>
        </is>
      </c>
      <c r="C71" s="58" t="n">
        <v>62101.36</v>
      </c>
      <c r="D71" s="58" t="n">
        <v>27376</v>
      </c>
      <c r="E71" s="58" t="n">
        <v>4112</v>
      </c>
      <c r="F71" s="58" t="n">
        <v>109</v>
      </c>
      <c r="G71" s="58" t="n">
        <v>4848</v>
      </c>
      <c r="H71" s="58" t="n">
        <v>0</v>
      </c>
      <c r="I71" s="58" t="n">
        <v>5852</v>
      </c>
      <c r="J71" s="58" t="n">
        <v>6086</v>
      </c>
      <c r="K71" s="58" t="n">
        <v>3471</v>
      </c>
      <c r="L71" s="58" t="n">
        <v>51854</v>
      </c>
      <c r="M71" s="58" t="n">
        <v>10247.36</v>
      </c>
    </row>
  </sheetData>
  <autoFilter ref="A4:M67"/>
  <mergeCells count="2">
    <mergeCell ref="A2:M2"/>
    <mergeCell ref="A1:M1"/>
  </mergeCells>
  <pageMargins left="0.4" right="0.4" top="0.5" bottom="0.45" header="0.5" footer="0.5"/>
  <pageSetup orientation="landscape" paperSize="9" fitToHeight="1" fitToWidth="1"/>
  <headerFooter>
    <oddHeader>&amp;LКостюкова · расшифровка арендаторов</oddHeader>
    <oddFooter>&amp;LПустая ячейка — арендатора в месяце не было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33" t="inlineStr">
        <is>
          <t>Как собран перерасход</t>
        </is>
      </c>
    </row>
    <row r="4" ht="48" customHeight="1">
      <c r="B4" s="59" t="inlineStr">
        <is>
          <t>Источник — лист «Костюкова расчет» в файле «май Коммуналка 2026.xlsx».</t>
        </is>
      </c>
    </row>
    <row r="5" ht="48" customHeight="1">
      <c r="B5" s="59" t="inlineStr">
        <is>
          <t>В каждом месяце три ресурса: тепло, свет и вода. Отопление в этой сводке — строка «Тепло». Свет — электричество в рублях. Отдельной строки «Электричество» в месячных блоках нет.</t>
        </is>
      </c>
    </row>
    <row r="6" ht="48" customHeight="1">
      <c r="B6" s="59" t="inlineStr">
        <is>
          <t>Общий расход — колонка «Оплата». Арендаторы — колонки слева от «Не возмещаемое»: Сбер, Аркарго, Кофе, Люкс, Клиника, Водомат, Чижик, Пирожки. Состав колонок меняется от месяца к месяцу.</t>
        </is>
      </c>
    </row>
    <row r="7" ht="48" customHeight="1">
      <c r="B7" s="59" t="inlineStr">
        <is>
          <t>Перерасход = общий расход − сумма арендаторов. В исходнике это колонка «Не возмещаемое». Сверка сошлась по всем 21 месяцам и по всем трём ресурсам.</t>
        </is>
      </c>
    </row>
    <row r="8" ht="48" customHeight="1">
      <c r="B8" s="59" t="inlineStr">
        <is>
          <t>Берлизов А. и Хрисанов А. стоят справа от «Не возмещаемое». Это не арендаторы: их суммы — доля невозмещаемого долга и 6% от оплаты арендаторов. В перерасход они второй раз не вычитаются.</t>
        </is>
      </c>
    </row>
    <row r="9" ht="48" customHeight="1">
      <c r="B9" s="59" t="inlineStr">
        <is>
          <t>Строка «поток отопление» (обычно 1 500 ₽) и соседние суммы на инженера, шлагбаум, мусор и уборку в перерасход отопления не входят. Они добавляются уже к долгу Берлизова и Хрисанова.</t>
        </is>
      </c>
    </row>
    <row r="10" ht="48" customHeight="1">
      <c r="B10" s="59" t="inlineStr">
        <is>
          <t>Плюс означает, что общий счёт больше того, что разнесли на арендаторов. Минус означает, что на арендаторов разнесли больше, чем общий счёт.</t>
        </is>
      </c>
    </row>
    <row r="11" ht="48" customHeight="1">
      <c r="B11" s="59" t="inlineStr">
        <is>
          <t>Первый блок на листе подписан «Декабрь» без года. Показания счётчиков начинаются с ноября 2024, блоки идут подряд 21 месяц и заканчиваются августом. Поэтому первый декабрь принят за декабрь 2024, последний август — за август 2026.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Костюкова. Перерасход по месяцам</dc:title>
  <dc:subject>Отопление, свет и вода: общий расход минус арендаторы</dc:subject>
  <dcterms:created xsi:type="dcterms:W3CDTF">2026-09-25T11:35:45Z</dcterms:created>
  <dcterms:modified xsi:type="dcterms:W3CDTF">2026-09-25T11:35:45Z</dcterms:modified>
</cp:coreProperties>
</file>