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ерасход" sheetId="1" state="visible" r:id="rId1"/>
    <sheet name="По арендаторам" sheetId="2" state="visible" r:id="rId2"/>
    <sheet name="Как считалось" sheetId="3" state="visible" r:id="rId3"/>
  </sheets>
  <definedNames>
    <definedName name="_xlnm.Print_Titles" localSheetId="0">'Перерасход'!$1:$7</definedName>
    <definedName name="_xlnm.Print_Area" localSheetId="0">'Перерасход'!$A$1:$H$58</definedName>
    <definedName name="_xlnm._FilterDatabase" localSheetId="1" hidden="1">'По арендаторам'!$A$4:$M$46</definedName>
    <definedName name="_xlnm.Print_Titles" localSheetId="1">'По арендаторам'!$1:$4</definedName>
    <definedName name="_xlnm.Print_Area" localSheetId="1">'По арендаторам'!$A$1:$M$49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B3A4B"/>
      <sz val="20"/>
    </font>
    <font>
      <name val="Calibri"/>
      <color rgb="001C2833"/>
      <sz val="11"/>
    </font>
    <font>
      <name val="Calibri"/>
      <color rgb="005E6A75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C2833"/>
      <sz val="11"/>
    </font>
    <font>
      <name val="Calibri"/>
      <b val="1"/>
      <color rgb="001B3A4B"/>
      <sz val="11"/>
    </font>
    <font>
      <name val="Calibri"/>
      <b val="1"/>
      <color rgb="001B3A4B"/>
      <sz val="12"/>
    </font>
    <font>
      <name val="Calibri"/>
      <color rgb="001C2833"/>
      <sz val="10"/>
    </font>
    <font>
      <name val="Calibri"/>
      <b val="1"/>
      <color rgb="005E6A75"/>
      <sz val="10"/>
    </font>
    <font>
      <name val="Calibri"/>
      <b val="1"/>
      <color rgb="00FFFFFF"/>
      <sz val="9"/>
    </font>
    <font>
      <name val="Calibri"/>
      <color rgb="005E6A75"/>
      <sz val="9"/>
    </font>
    <font>
      <name val="Calibri"/>
      <b val="1"/>
      <color rgb="001B3A4B"/>
      <sz val="18"/>
    </font>
    <font>
      <name val="Calibri"/>
      <b val="1"/>
      <color rgb="001C2833"/>
      <sz val="10"/>
    </font>
    <font>
      <name val="Calibri"/>
      <b val="1"/>
      <color rgb="00FFFFFF"/>
      <sz val="11"/>
    </font>
    <font>
      <name val="Calibri"/>
      <color rgb="001C2833"/>
      <sz val="12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E6B6B"/>
      </patternFill>
    </fill>
    <fill>
      <patternFill patternType="solid">
        <fgColor rgb="001B3A4B"/>
      </patternFill>
    </fill>
    <fill>
      <patternFill patternType="solid">
        <fgColor rgb="006B3A2A"/>
      </patternFill>
    </fill>
    <fill>
      <patternFill patternType="solid">
        <fgColor rgb="00FFFFFF"/>
      </patternFill>
    </fill>
    <fill>
      <patternFill patternType="solid">
        <fgColor rgb="00F4F7F8"/>
      </patternFill>
    </fill>
    <fill>
      <patternFill patternType="solid">
        <fgColor rgb="00E6EEF5"/>
      </patternFill>
    </fill>
    <fill>
      <patternFill patternType="solid">
        <fgColor rgb="003D4F5F"/>
      </patternFill>
    </fill>
    <fill>
      <patternFill patternType="solid">
        <fgColor rgb="00355C7D"/>
      </patternFill>
    </fill>
    <fill>
      <patternFill patternType="solid">
        <fgColor rgb="00EAF1F8"/>
      </patternFill>
    </fill>
    <fill>
      <patternFill patternType="solid">
        <fgColor rgb="00F3FAF8"/>
      </patternFill>
    </fill>
    <fill>
      <patternFill patternType="solid">
        <fgColor rgb="00FFF6E8"/>
      </patternFill>
    </fill>
  </fills>
  <borders count="10">
    <border>
      <left/>
      <right/>
      <top/>
      <bottom/>
      <diagonal/>
    </border>
    <border>
      <left style="thin">
        <color rgb="00D5DDE3"/>
      </left>
      <right style="thin">
        <color rgb="00D5DDE3"/>
      </right>
      <top style="thin">
        <color rgb="00D5DDE3"/>
      </top>
      <bottom style="thin">
        <color rgb="00D5DDE3"/>
      </bottom>
    </border>
    <border>
      <left style="thin">
        <color rgb="00D5DDE3"/>
      </left>
      <right style="thin">
        <color rgb="00D5DDE3"/>
      </right>
      <top style="thin">
        <color rgb="00D5DDE3"/>
      </top>
      <bottom style="medium">
        <color rgb="001B3A4B"/>
      </bottom>
    </border>
    <border>
      <left/>
      <right/>
      <top style="thin">
        <color rgb="00D5DDE3"/>
      </top>
      <bottom/>
      <diagonal/>
    </border>
    <border>
      <left/>
      <right style="thin">
        <color rgb="00D5DDE3"/>
      </right>
      <top style="thin">
        <color rgb="00D5DDE3"/>
      </top>
      <bottom/>
      <diagonal/>
    </border>
    <border>
      <left/>
      <right/>
      <top style="thin">
        <color rgb="00D5DDE3"/>
      </top>
      <bottom style="thin">
        <color rgb="00D5DDE3"/>
      </bottom>
      <diagonal/>
    </border>
    <border>
      <left/>
      <right style="thin">
        <color rgb="00D5DDE3"/>
      </right>
      <top style="thin">
        <color rgb="00D5DDE3"/>
      </top>
      <bottom style="thin">
        <color rgb="00D5DDE3"/>
      </bottom>
      <diagonal/>
    </border>
    <border>
      <left style="thin">
        <color rgb="00D5DDE3"/>
      </left>
      <right/>
      <top/>
      <bottom/>
      <diagonal/>
    </border>
    <border>
      <left style="thin">
        <color rgb="00D5DDE3"/>
      </left>
      <right style="thin">
        <color rgb="00D5DDE3"/>
      </right>
      <top/>
      <bottom/>
      <diagonal/>
    </border>
    <border>
      <left style="thin">
        <color rgb="00D5DDE3"/>
      </left>
      <right style="thin">
        <color rgb="00D5DDE3"/>
      </right>
      <top/>
      <bottom style="thin">
        <color rgb="00D5DDE3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4" borderId="1" pivotButton="0" quotePrefix="0" xfId="0"/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5" borderId="1" pivotButton="0" quotePrefix="0" xfId="0"/>
    <xf numFmtId="0" fontId="10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indent="1"/>
    </xf>
    <xf numFmtId="4" fontId="2" fillId="6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0" fontId="12" fillId="0" borderId="0" pivotButton="0" quotePrefix="0" xfId="0"/>
    <xf numFmtId="4" fontId="12" fillId="0" borderId="0" pivotButton="0" quotePrefix="0" xfId="0"/>
    <xf numFmtId="0" fontId="7" fillId="8" borderId="2" applyAlignment="1" pivotButton="0" quotePrefix="0" xfId="0">
      <alignment horizontal="left" vertical="center" indent="1"/>
    </xf>
    <xf numFmtId="4" fontId="7" fillId="8" borderId="2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 indent="1"/>
    </xf>
    <xf numFmtId="4" fontId="2" fillId="7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indent="1"/>
    </xf>
    <xf numFmtId="4" fontId="4" fillId="4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applyAlignment="1" pivotButton="0" quotePrefix="0" xfId="0">
      <alignment vertical="center" wrapText="1"/>
    </xf>
    <xf numFmtId="0" fontId="13" fillId="0" borderId="0" pivotButton="0" quotePrefix="0" xfId="0"/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indent="1"/>
    </xf>
    <xf numFmtId="0" fontId="9" fillId="11" borderId="1" applyAlignment="1" pivotButton="0" quotePrefix="0" xfId="0">
      <alignment horizontal="left" vertical="center" indent="1"/>
    </xf>
    <xf numFmtId="4" fontId="9" fillId="11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right" vertical="center"/>
    </xf>
    <xf numFmtId="4" fontId="14" fillId="11" borderId="1" applyAlignment="1" pivotButton="0" quotePrefix="0" xfId="0">
      <alignment horizontal="right" vertical="center"/>
    </xf>
    <xf numFmtId="0" fontId="14" fillId="12" borderId="1" applyAlignment="1" pivotButton="0" quotePrefix="0" xfId="0">
      <alignment horizontal="left" vertical="center" indent="1"/>
    </xf>
    <xf numFmtId="0" fontId="9" fillId="12" borderId="1" applyAlignment="1" pivotButton="0" quotePrefix="0" xfId="0">
      <alignment horizontal="left" vertical="center" indent="1"/>
    </xf>
    <xf numFmtId="4" fontId="9" fillId="12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right" vertical="center"/>
    </xf>
    <xf numFmtId="4" fontId="14" fillId="12" borderId="1" applyAlignment="1" pivotButton="0" quotePrefix="0" xfId="0">
      <alignment horizontal="right" vertical="center"/>
    </xf>
    <xf numFmtId="0" fontId="15" fillId="2" borderId="1" applyAlignment="1" pivotButton="0" quotePrefix="0" xfId="0">
      <alignment horizontal="left" vertical="center" indent="1"/>
    </xf>
    <xf numFmtId="4" fontId="15" fillId="2" borderId="1" applyAlignment="1" pivotButton="0" quotePrefix="0" xfId="0">
      <alignment horizontal="right" vertical="center"/>
    </xf>
    <xf numFmtId="0" fontId="15" fillId="3" borderId="1" applyAlignment="1" pivotButton="0" quotePrefix="0" xfId="0">
      <alignment horizontal="left" vertical="center" indent="1"/>
    </xf>
    <xf numFmtId="4" fontId="15" fillId="3" borderId="1" applyAlignment="1" pivotButton="0" quotePrefix="0" xfId="0">
      <alignment horizontal="right" vertical="center"/>
    </xf>
    <xf numFmtId="0" fontId="16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4" fillId="5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indent="1"/>
    </xf>
    <xf numFmtId="4" fontId="2" fillId="13" borderId="1" applyAlignment="1" pivotButton="0" quotePrefix="0" xfId="0">
      <alignment horizontal="right" vertical="center"/>
    </xf>
    <xf numFmtId="4" fontId="6" fillId="13" borderId="1" applyAlignment="1" pivotButton="0" quotePrefix="0" xfId="0">
      <alignment horizontal="right" vertical="center"/>
    </xf>
    <xf numFmtId="0" fontId="0" fillId="0" borderId="9" pivotButton="0" quotePrefix="0" xfId="0"/>
  </cellXfs>
  <cellStyles count="1">
    <cellStyle name="Normal" xfId="0" builtinId="0" hidden="0"/>
  </cellStyles>
  <dxfs count="2">
    <dxf>
      <font>
        <name val="Calibri"/>
        <b val="1"/>
        <color rgb="009C3B2E"/>
      </font>
    </dxf>
    <dxf>
      <font>
        <name val="Calibri"/>
        <b val="1"/>
        <color rgb="001E7A4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Перерасход, 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'Перерасход'!K7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'Перерасход'!$J$8:$J$28</f>
            </numRef>
          </cat>
          <val>
            <numRef>
              <f>'Перерасход'!$K$8:$K$28</f>
            </numRef>
          </val>
        </ser>
        <ser>
          <idx val="1"/>
          <order val="1"/>
          <tx>
            <strRef>
              <f>'Перерасход'!L7</f>
            </strRef>
          </tx>
          <spPr>
            <a:solidFill>
              <a:srgbClr val="0E6B6B"/>
            </a:solidFill>
            <a:ln>
              <a:prstDash val="solid"/>
            </a:ln>
          </spPr>
          <cat>
            <numRef>
              <f>'Перерасход'!$J$8:$J$28</f>
            </numRef>
          </cat>
          <val>
            <numRef>
              <f>'Перерасход'!$L$8:$L$28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Расчёт</author>
  </authors>
  <commentList>
    <comment ref="F25" authorId="0" shapeId="0">
      <text>
        <t>В исходнике вода «Люкс» = 1 555 ₽ (E280). В соседних месяцах у Люкса около 222 ₽. Перерасход посчитан как в таблице.</t>
      </text>
    </comment>
    <comment ref="F27" authorId="0" shapeId="0">
      <text>
        <t>Вода Сбера, Люкса и Чижика задана формулами: 65359−свет, 16340−свет, 70726−свет. Перерасход посчитан по этим формулам.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showGridLines="0" view="normal" zoomScale="12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20" customWidth="1" min="8" max="8"/>
    <col width="3" customWidth="1" min="9" max="9"/>
    <col hidden="1" width="16" customWidth="1" min="10" max="10"/>
    <col hidden="1" width="12" customWidth="1" min="11" max="11"/>
    <col hidden="1" width="12" customWidth="1" min="12" max="12"/>
  </cols>
  <sheetData>
    <row r="1" ht="28" customHeight="1">
      <c r="A1" s="1" t="inlineStr">
        <is>
          <t>Костюкова. Перерасход по месяцам</t>
        </is>
      </c>
    </row>
    <row r="2" ht="32" customHeight="1">
      <c r="A2" s="2" t="inlineStr">
        <is>
          <t>Лист «Костюкова расчет», файл «май Коммуналка 2026». Свет в исходной таблице — это счёт за электричество, отдельной строки «электричество» нет.</t>
        </is>
      </c>
    </row>
    <row r="3" ht="34" customHeight="1">
      <c r="A3" s="2" t="inlineStr">
        <is>
          <t>Перерасход = колонка «Оплата» (общий расход) − сумма арендаторов. Это же значение стоит в колонке «Не возмещаемое». Берлизов А. и Хрисанов А. в арендаторы не входят: у них распределение этого долга, а не расход помещения.</t>
        </is>
      </c>
    </row>
    <row r="4" ht="34" customHeight="1">
      <c r="A4" s="3" t="inlineStr">
        <is>
          <t>Годы проставлены по порядку блоков на листе: первый «Декабрь» — декабрь 2024 (показания начинаются с ноября 2024), дальше без пропусков до августа 2026. Плюс — общий счёт больше суммы арендаторов. Минус — арендаторы закрыли больше, чем выставлен общий счёт.</t>
        </is>
      </c>
    </row>
    <row r="6" ht="22" customHeight="1">
      <c r="A6" s="11" t="inlineStr">
        <is>
          <t>Месяц</t>
        </is>
      </c>
      <c r="B6" s="5" t="inlineStr">
        <is>
          <t>Свет (электричество), ₽</t>
        </is>
      </c>
      <c r="C6" s="48" t="n"/>
      <c r="D6" s="49" t="n"/>
      <c r="E6" s="7" t="inlineStr">
        <is>
          <t>Вода, ₽</t>
        </is>
      </c>
      <c r="F6" s="48" t="n"/>
      <c r="G6" s="49" t="n"/>
      <c r="H6" s="50" t="inlineStr">
        <is>
          <t>Свет + вода</t>
        </is>
      </c>
      <c r="J6" s="10" t="inlineStr">
        <is>
          <t>Для графика</t>
        </is>
      </c>
    </row>
    <row r="7" ht="30" customHeight="1">
      <c r="A7" s="54" t="n"/>
      <c r="B7" s="12" t="inlineStr">
        <is>
          <t>Общий расход</t>
        </is>
      </c>
      <c r="C7" s="12" t="inlineStr">
        <is>
          <t>Арендаторы</t>
        </is>
      </c>
      <c r="D7" s="12" t="inlineStr">
        <is>
          <t>Перерасход</t>
        </is>
      </c>
      <c r="E7" s="13" t="inlineStr">
        <is>
          <t>Общий расход</t>
        </is>
      </c>
      <c r="F7" s="13" t="inlineStr">
        <is>
          <t>Арендаторы</t>
        </is>
      </c>
      <c r="G7" s="13" t="inlineStr">
        <is>
          <t>Перерасход</t>
        </is>
      </c>
      <c r="H7" s="14" t="inlineStr">
        <is>
          <t>Перерасход всего</t>
        </is>
      </c>
      <c r="J7" s="15" t="inlineStr">
        <is>
          <t>Месяц</t>
        </is>
      </c>
      <c r="K7" s="15" t="inlineStr">
        <is>
          <t>Свет</t>
        </is>
      </c>
      <c r="L7" s="15" t="inlineStr">
        <is>
          <t>Вода</t>
        </is>
      </c>
    </row>
    <row r="8" ht="20" customHeight="1">
      <c r="A8" s="16" t="inlineStr">
        <is>
          <t>Декабрь 2024</t>
        </is>
      </c>
      <c r="B8" s="17" t="n">
        <v>87738</v>
      </c>
      <c r="C8" s="17" t="n">
        <v>52425</v>
      </c>
      <c r="D8" s="18" t="n">
        <v>35313</v>
      </c>
      <c r="E8" s="17" t="n">
        <v>503</v>
      </c>
      <c r="F8" s="17" t="n">
        <v>1258</v>
      </c>
      <c r="G8" s="18" t="n">
        <v>-755</v>
      </c>
      <c r="H8" s="18" t="n">
        <v>34558</v>
      </c>
      <c r="J8" s="19" t="inlineStr">
        <is>
          <t>Декабрь 2024</t>
        </is>
      </c>
      <c r="K8" s="20" t="n">
        <v>35313</v>
      </c>
      <c r="L8" s="20" t="n">
        <v>-755</v>
      </c>
    </row>
    <row r="9" ht="22" customHeight="1">
      <c r="A9" s="21" t="inlineStr">
        <is>
          <t>Итого 2024</t>
        </is>
      </c>
      <c r="B9" s="22" t="n">
        <v>87738</v>
      </c>
      <c r="C9" s="22" t="n">
        <v>52425</v>
      </c>
      <c r="D9" s="22" t="n">
        <v>35313</v>
      </c>
      <c r="E9" s="22" t="n">
        <v>503</v>
      </c>
      <c r="F9" s="22" t="n">
        <v>1258</v>
      </c>
      <c r="G9" s="22" t="n">
        <v>-755</v>
      </c>
      <c r="H9" s="22" t="n">
        <v>34558</v>
      </c>
      <c r="J9" s="19" t="inlineStr">
        <is>
          <t>Январь 2025</t>
        </is>
      </c>
      <c r="K9" s="20" t="n">
        <v>18083</v>
      </c>
      <c r="L9" s="20" t="n">
        <v>-656</v>
      </c>
    </row>
    <row r="10" ht="20" customHeight="1">
      <c r="A10" s="16" t="inlineStr">
        <is>
          <t>Январь 2025</t>
        </is>
      </c>
      <c r="B10" s="17" t="n">
        <v>80782</v>
      </c>
      <c r="C10" s="17" t="n">
        <v>62699</v>
      </c>
      <c r="D10" s="18" t="n">
        <v>18083</v>
      </c>
      <c r="E10" s="17" t="n">
        <v>0</v>
      </c>
      <c r="F10" s="17" t="n">
        <v>656</v>
      </c>
      <c r="G10" s="18" t="n">
        <v>-656</v>
      </c>
      <c r="H10" s="18" t="n">
        <v>17427</v>
      </c>
      <c r="J10" s="19" t="inlineStr">
        <is>
          <t>Февраль 2025</t>
        </is>
      </c>
      <c r="K10" s="20" t="n">
        <v>2226</v>
      </c>
      <c r="L10" s="20" t="n">
        <v>1312</v>
      </c>
    </row>
    <row r="11" ht="20" customHeight="1">
      <c r="A11" s="23" t="inlineStr">
        <is>
          <t>Февраль 2025</t>
        </is>
      </c>
      <c r="B11" s="24" t="n">
        <v>85526</v>
      </c>
      <c r="C11" s="24" t="n">
        <v>83300</v>
      </c>
      <c r="D11" s="25" t="n">
        <v>2226</v>
      </c>
      <c r="E11" s="24" t="n">
        <v>4156</v>
      </c>
      <c r="F11" s="24" t="n">
        <v>2844</v>
      </c>
      <c r="G11" s="25" t="n">
        <v>1312</v>
      </c>
      <c r="H11" s="25" t="n">
        <v>3538</v>
      </c>
      <c r="J11" s="19" t="inlineStr">
        <is>
          <t>Март 2025</t>
        </is>
      </c>
      <c r="K11" s="20" t="n">
        <v>5882</v>
      </c>
      <c r="L11" s="20" t="n">
        <v>3609</v>
      </c>
    </row>
    <row r="12" ht="20" customHeight="1">
      <c r="A12" s="16" t="inlineStr">
        <is>
          <t>Март 2025</t>
        </is>
      </c>
      <c r="B12" s="17" t="n">
        <v>71086</v>
      </c>
      <c r="C12" s="17" t="n">
        <v>65204</v>
      </c>
      <c r="D12" s="18" t="n">
        <v>5882</v>
      </c>
      <c r="E12" s="17" t="n">
        <v>5687</v>
      </c>
      <c r="F12" s="17" t="n">
        <v>2078</v>
      </c>
      <c r="G12" s="18" t="n">
        <v>3609</v>
      </c>
      <c r="H12" s="18" t="n">
        <v>9491</v>
      </c>
      <c r="J12" s="19" t="inlineStr">
        <is>
          <t>Апрель 2025</t>
        </is>
      </c>
      <c r="K12" s="20" t="n">
        <v>3278</v>
      </c>
      <c r="L12" s="20" t="n">
        <v>1203</v>
      </c>
    </row>
    <row r="13" ht="20" customHeight="1">
      <c r="A13" s="23" t="inlineStr">
        <is>
          <t>Апрель 2025</t>
        </is>
      </c>
      <c r="B13" s="24" t="n">
        <v>69650</v>
      </c>
      <c r="C13" s="24" t="n">
        <v>66372</v>
      </c>
      <c r="D13" s="25" t="n">
        <v>3278</v>
      </c>
      <c r="E13" s="24" t="n">
        <v>3827</v>
      </c>
      <c r="F13" s="24" t="n">
        <v>2624</v>
      </c>
      <c r="G13" s="25" t="n">
        <v>1203</v>
      </c>
      <c r="H13" s="25" t="n">
        <v>4481</v>
      </c>
      <c r="J13" s="19" t="inlineStr">
        <is>
          <t>Май 2025</t>
        </is>
      </c>
      <c r="K13" s="20" t="n">
        <v>3368</v>
      </c>
      <c r="L13" s="20" t="n">
        <v>1659</v>
      </c>
    </row>
    <row r="14" ht="20" customHeight="1">
      <c r="A14" s="16" t="inlineStr">
        <is>
          <t>Май 2025</t>
        </is>
      </c>
      <c r="B14" s="17" t="n">
        <v>57170</v>
      </c>
      <c r="C14" s="17" t="n">
        <v>53802</v>
      </c>
      <c r="D14" s="18" t="n">
        <v>3368</v>
      </c>
      <c r="E14" s="17" t="n">
        <v>3190</v>
      </c>
      <c r="F14" s="17" t="n">
        <v>1531</v>
      </c>
      <c r="G14" s="18" t="n">
        <v>1659</v>
      </c>
      <c r="H14" s="18" t="n">
        <v>5027</v>
      </c>
      <c r="J14" s="19" t="inlineStr">
        <is>
          <t>Июнь 2025</t>
        </is>
      </c>
      <c r="K14" s="20" t="n">
        <v>7225</v>
      </c>
      <c r="L14" s="20" t="n">
        <v>109</v>
      </c>
    </row>
    <row r="15" ht="20" customHeight="1">
      <c r="A15" s="23" t="inlineStr">
        <is>
          <t>Июнь 2025</t>
        </is>
      </c>
      <c r="B15" s="24" t="n">
        <v>65413</v>
      </c>
      <c r="C15" s="24" t="n">
        <v>58188</v>
      </c>
      <c r="D15" s="25" t="n">
        <v>7225</v>
      </c>
      <c r="E15" s="24" t="n">
        <v>2187</v>
      </c>
      <c r="F15" s="24" t="n">
        <v>2078</v>
      </c>
      <c r="G15" s="25" t="n">
        <v>109</v>
      </c>
      <c r="H15" s="25" t="n">
        <v>7334</v>
      </c>
      <c r="J15" s="19" t="inlineStr">
        <is>
          <t>Июль 2025</t>
        </is>
      </c>
      <c r="K15" s="20" t="n">
        <v>10014</v>
      </c>
      <c r="L15" s="20" t="n">
        <v>1202.9</v>
      </c>
    </row>
    <row r="16" ht="20" customHeight="1">
      <c r="A16" s="16" t="inlineStr">
        <is>
          <t>Июль 2025</t>
        </is>
      </c>
      <c r="B16" s="17" t="n">
        <v>77716</v>
      </c>
      <c r="C16" s="17" t="n">
        <v>67702</v>
      </c>
      <c r="D16" s="18" t="n">
        <v>10014</v>
      </c>
      <c r="E16" s="17" t="n">
        <v>2733.9</v>
      </c>
      <c r="F16" s="17" t="n">
        <v>1531</v>
      </c>
      <c r="G16" s="18" t="n">
        <v>1202.9</v>
      </c>
      <c r="H16" s="18" t="n">
        <v>11216.9</v>
      </c>
      <c r="J16" s="19" t="inlineStr">
        <is>
          <t>Август 2025</t>
        </is>
      </c>
      <c r="K16" s="20" t="n">
        <v>7152</v>
      </c>
      <c r="L16" s="20" t="n">
        <v>1093.9</v>
      </c>
    </row>
    <row r="17" ht="20" customHeight="1">
      <c r="A17" s="23" t="inlineStr">
        <is>
          <t>Август 2025</t>
        </is>
      </c>
      <c r="B17" s="24" t="n">
        <v>109691</v>
      </c>
      <c r="C17" s="24" t="n">
        <v>102539</v>
      </c>
      <c r="D17" s="25" t="n">
        <v>7152</v>
      </c>
      <c r="E17" s="24" t="n">
        <v>2733.9</v>
      </c>
      <c r="F17" s="24" t="n">
        <v>1640</v>
      </c>
      <c r="G17" s="25" t="n">
        <v>1093.9</v>
      </c>
      <c r="H17" s="25" t="n">
        <v>8245.9</v>
      </c>
      <c r="J17" s="19" t="inlineStr">
        <is>
          <t>Сентябрь 2025</t>
        </is>
      </c>
      <c r="K17" s="20" t="n">
        <v>-602.11</v>
      </c>
      <c r="L17" s="20" t="n">
        <v>218.9</v>
      </c>
    </row>
    <row r="18" ht="20" customHeight="1">
      <c r="A18" s="16" t="inlineStr">
        <is>
          <t>Сентябрь 2025</t>
        </is>
      </c>
      <c r="B18" s="17" t="n">
        <v>81090</v>
      </c>
      <c r="C18" s="17" t="n">
        <v>81692.11</v>
      </c>
      <c r="D18" s="18" t="n">
        <v>-602.11</v>
      </c>
      <c r="E18" s="17" t="n">
        <v>2733.9</v>
      </c>
      <c r="F18" s="17" t="n">
        <v>2515</v>
      </c>
      <c r="G18" s="18" t="n">
        <v>218.9</v>
      </c>
      <c r="H18" s="18" t="n">
        <v>-383.21</v>
      </c>
      <c r="J18" s="19" t="inlineStr">
        <is>
          <t>Октябрь 2025</t>
        </is>
      </c>
      <c r="K18" s="20" t="n">
        <v>16501</v>
      </c>
      <c r="L18" s="20" t="n">
        <v>-108.4</v>
      </c>
    </row>
    <row r="19" ht="20" customHeight="1">
      <c r="A19" s="23" t="inlineStr">
        <is>
          <t>Октябрь 2025</t>
        </is>
      </c>
      <c r="B19" s="24" t="n">
        <v>111437</v>
      </c>
      <c r="C19" s="24" t="n">
        <v>94936</v>
      </c>
      <c r="D19" s="25" t="n">
        <v>16501</v>
      </c>
      <c r="E19" s="24" t="n">
        <v>2733.6</v>
      </c>
      <c r="F19" s="24" t="n">
        <v>2842</v>
      </c>
      <c r="G19" s="25" t="n">
        <v>-108.4</v>
      </c>
      <c r="H19" s="25" t="n">
        <v>16392.6</v>
      </c>
      <c r="J19" s="19" t="inlineStr">
        <is>
          <t>Ноябрь 2025</t>
        </is>
      </c>
      <c r="K19" s="20" t="n">
        <v>-653</v>
      </c>
      <c r="L19" s="20" t="n">
        <v>1.6</v>
      </c>
    </row>
    <row r="20" ht="20" customHeight="1">
      <c r="A20" s="16" t="inlineStr">
        <is>
          <t>Ноябрь 2025</t>
        </is>
      </c>
      <c r="B20" s="17" t="n">
        <v>161060</v>
      </c>
      <c r="C20" s="17" t="n">
        <v>161713</v>
      </c>
      <c r="D20" s="18" t="n">
        <v>-653</v>
      </c>
      <c r="E20" s="17" t="n">
        <v>2733.6</v>
      </c>
      <c r="F20" s="17" t="n">
        <v>2732</v>
      </c>
      <c r="G20" s="18" t="n">
        <v>1.6</v>
      </c>
      <c r="H20" s="18" t="n">
        <v>-651.4</v>
      </c>
      <c r="J20" s="19" t="inlineStr">
        <is>
          <t>Декабрь 2025</t>
        </is>
      </c>
      <c r="K20" s="20" t="n">
        <v>8670</v>
      </c>
      <c r="L20" s="20" t="n">
        <v>764.6799999999999</v>
      </c>
    </row>
    <row r="21" ht="20" customHeight="1">
      <c r="A21" s="23" t="inlineStr">
        <is>
          <t>Декабрь 2025</t>
        </is>
      </c>
      <c r="B21" s="24" t="n">
        <v>158400</v>
      </c>
      <c r="C21" s="24" t="n">
        <v>149730</v>
      </c>
      <c r="D21" s="25" t="n">
        <v>8670</v>
      </c>
      <c r="E21" s="24" t="n">
        <v>3280.68</v>
      </c>
      <c r="F21" s="24" t="n">
        <v>2516</v>
      </c>
      <c r="G21" s="25" t="n">
        <v>764.6799999999999</v>
      </c>
      <c r="H21" s="25" t="n">
        <v>9434.68</v>
      </c>
      <c r="J21" s="19" t="inlineStr">
        <is>
          <t>Январь 2026</t>
        </is>
      </c>
      <c r="K21" s="20" t="n">
        <v>6024</v>
      </c>
      <c r="L21" s="20" t="n">
        <v>221.39</v>
      </c>
    </row>
    <row r="22" ht="22" customHeight="1">
      <c r="A22" s="21" t="inlineStr">
        <is>
          <t>Итого 2025</t>
        </is>
      </c>
      <c r="B22" s="22" t="n">
        <v>1129021</v>
      </c>
      <c r="C22" s="22" t="n">
        <v>1047877.11</v>
      </c>
      <c r="D22" s="22" t="n">
        <v>81143.89</v>
      </c>
      <c r="E22" s="22" t="n">
        <v>35996.58</v>
      </c>
      <c r="F22" s="22" t="n">
        <v>25587</v>
      </c>
      <c r="G22" s="22" t="n">
        <v>10409.58</v>
      </c>
      <c r="H22" s="22" t="n">
        <v>91553.47</v>
      </c>
      <c r="J22" s="19" t="inlineStr">
        <is>
          <t>Февраль 2026</t>
        </is>
      </c>
      <c r="K22" s="20" t="n">
        <v>3277</v>
      </c>
      <c r="L22" s="20" t="n">
        <v>448.47</v>
      </c>
    </row>
    <row r="23" ht="20" customHeight="1">
      <c r="A23" s="16" t="inlineStr">
        <is>
          <t>Январь 2026</t>
        </is>
      </c>
      <c r="B23" s="17" t="n">
        <v>151790</v>
      </c>
      <c r="C23" s="17" t="n">
        <v>145766</v>
      </c>
      <c r="D23" s="18" t="n">
        <v>6024</v>
      </c>
      <c r="E23" s="17" t="n">
        <v>2445.39</v>
      </c>
      <c r="F23" s="17" t="n">
        <v>2224</v>
      </c>
      <c r="G23" s="18" t="n">
        <v>221.39</v>
      </c>
      <c r="H23" s="18" t="n">
        <v>6245.39</v>
      </c>
      <c r="J23" s="19" t="inlineStr">
        <is>
          <t>Март 2026</t>
        </is>
      </c>
      <c r="K23" s="20" t="n">
        <v>33092</v>
      </c>
      <c r="L23" s="20" t="n">
        <v>-786</v>
      </c>
    </row>
    <row r="24" ht="20" customHeight="1">
      <c r="A24" s="23" t="inlineStr">
        <is>
          <t>Февраль 2026</t>
        </is>
      </c>
      <c r="B24" s="24" t="n">
        <v>174213</v>
      </c>
      <c r="C24" s="24" t="n">
        <v>170936</v>
      </c>
      <c r="D24" s="25" t="n">
        <v>3277</v>
      </c>
      <c r="E24" s="24" t="n">
        <v>2779.47</v>
      </c>
      <c r="F24" s="24" t="n">
        <v>2331</v>
      </c>
      <c r="G24" s="25" t="n">
        <v>448.47</v>
      </c>
      <c r="H24" s="25" t="n">
        <v>3725.47</v>
      </c>
      <c r="J24" s="19" t="inlineStr">
        <is>
          <t>Апрель 2026</t>
        </is>
      </c>
      <c r="K24" s="20" t="n">
        <v>-10400</v>
      </c>
      <c r="L24" s="20" t="n">
        <v>151</v>
      </c>
    </row>
    <row r="25" ht="20" customHeight="1">
      <c r="A25" s="51" t="inlineStr">
        <is>
          <t>Март 2026</t>
        </is>
      </c>
      <c r="B25" s="52" t="n">
        <v>164677</v>
      </c>
      <c r="C25" s="52" t="n">
        <v>131585</v>
      </c>
      <c r="D25" s="53" t="n">
        <v>33092</v>
      </c>
      <c r="E25" s="52" t="n">
        <v>3113</v>
      </c>
      <c r="F25" s="52" t="n">
        <v>3899</v>
      </c>
      <c r="G25" s="53" t="n">
        <v>-786</v>
      </c>
      <c r="H25" s="53" t="n">
        <v>32306</v>
      </c>
      <c r="J25" s="19" t="inlineStr">
        <is>
          <t>Май 2026</t>
        </is>
      </c>
      <c r="K25" s="20" t="n">
        <v>28478</v>
      </c>
      <c r="L25" s="20" t="n">
        <v>1336.92</v>
      </c>
    </row>
    <row r="26" ht="20" customHeight="1">
      <c r="A26" s="23" t="inlineStr">
        <is>
          <t>Апрель 2026</t>
        </is>
      </c>
      <c r="B26" s="24" t="n">
        <v>133379</v>
      </c>
      <c r="C26" s="24" t="n">
        <v>143779</v>
      </c>
      <c r="D26" s="25" t="n">
        <v>-10400</v>
      </c>
      <c r="E26" s="24" t="n">
        <v>3479</v>
      </c>
      <c r="F26" s="24" t="n">
        <v>3328</v>
      </c>
      <c r="G26" s="25" t="n">
        <v>151</v>
      </c>
      <c r="H26" s="25" t="n">
        <v>-10249</v>
      </c>
      <c r="J26" s="19" t="inlineStr">
        <is>
          <t>Июнь 2026</t>
        </is>
      </c>
      <c r="K26" s="20" t="n">
        <v>-3875</v>
      </c>
      <c r="L26" s="20" t="n">
        <v>-2003</v>
      </c>
    </row>
    <row r="27" ht="20" customHeight="1">
      <c r="A27" s="51" t="inlineStr">
        <is>
          <t>Май 2026</t>
        </is>
      </c>
      <c r="B27" s="52" t="n">
        <v>184738</v>
      </c>
      <c r="C27" s="52" t="n">
        <v>156260</v>
      </c>
      <c r="D27" s="53" t="n">
        <v>28478</v>
      </c>
      <c r="E27" s="52" t="n">
        <v>4557.92</v>
      </c>
      <c r="F27" s="52" t="n">
        <v>3221</v>
      </c>
      <c r="G27" s="53" t="n">
        <v>1336.92</v>
      </c>
      <c r="H27" s="53" t="n">
        <v>29814.92</v>
      </c>
      <c r="J27" s="19" t="inlineStr">
        <is>
          <t>Июль 2026</t>
        </is>
      </c>
      <c r="K27" s="20" t="n">
        <v>2703</v>
      </c>
      <c r="L27" s="20" t="n">
        <v>-1000</v>
      </c>
    </row>
    <row r="28" ht="20" customHeight="1">
      <c r="A28" s="23" t="inlineStr">
        <is>
          <t>Июнь 2026</t>
        </is>
      </c>
      <c r="B28" s="24" t="n">
        <v>155822</v>
      </c>
      <c r="C28" s="24" t="n">
        <v>159697</v>
      </c>
      <c r="D28" s="25" t="n">
        <v>-3875</v>
      </c>
      <c r="E28" s="24" t="n">
        <v>2001</v>
      </c>
      <c r="F28" s="24" t="n">
        <v>4004</v>
      </c>
      <c r="G28" s="25" t="n">
        <v>-2003</v>
      </c>
      <c r="H28" s="25" t="n">
        <v>-5878</v>
      </c>
      <c r="J28" s="19" t="inlineStr">
        <is>
          <t>Август 2026</t>
        </is>
      </c>
      <c r="K28" s="20" t="n">
        <v>-940</v>
      </c>
      <c r="L28" s="20" t="n">
        <v>2224</v>
      </c>
    </row>
    <row r="29" ht="20" customHeight="1">
      <c r="A29" s="16" t="inlineStr">
        <is>
          <t>Июль 2026</t>
        </is>
      </c>
      <c r="B29" s="17" t="n">
        <v>153460</v>
      </c>
      <c r="C29" s="17" t="n">
        <v>150757</v>
      </c>
      <c r="D29" s="18" t="n">
        <v>2703</v>
      </c>
      <c r="E29" s="17" t="n">
        <v>2001</v>
      </c>
      <c r="F29" s="17" t="n">
        <v>3001</v>
      </c>
      <c r="G29" s="18" t="n">
        <v>-1000</v>
      </c>
      <c r="H29" s="18" t="n">
        <v>1703</v>
      </c>
    </row>
    <row r="30" ht="20" customHeight="1">
      <c r="A30" s="23" t="inlineStr">
        <is>
          <t>Август 2026</t>
        </is>
      </c>
      <c r="B30" s="24" t="n">
        <v>158604</v>
      </c>
      <c r="C30" s="24" t="n">
        <v>159544</v>
      </c>
      <c r="D30" s="25" t="n">
        <v>-940</v>
      </c>
      <c r="E30" s="24" t="n">
        <v>5225</v>
      </c>
      <c r="F30" s="24" t="n">
        <v>3001</v>
      </c>
      <c r="G30" s="25" t="n">
        <v>2224</v>
      </c>
      <c r="H30" s="25" t="n">
        <v>1284</v>
      </c>
    </row>
    <row r="31" ht="22" customHeight="1">
      <c r="A31" s="21" t="inlineStr">
        <is>
          <t>Итого 2026 (январь–август)</t>
        </is>
      </c>
      <c r="B31" s="22" t="n">
        <v>1276683</v>
      </c>
      <c r="C31" s="22" t="n">
        <v>1218324</v>
      </c>
      <c r="D31" s="22" t="n">
        <v>58359</v>
      </c>
      <c r="E31" s="22" t="n">
        <v>25601.78</v>
      </c>
      <c r="F31" s="22" t="n">
        <v>25009</v>
      </c>
      <c r="G31" s="22" t="n">
        <v>592.78</v>
      </c>
      <c r="H31" s="22" t="n">
        <v>58951.78</v>
      </c>
    </row>
    <row r="32" ht="24" customHeight="1">
      <c r="A32" s="26" t="inlineStr">
        <is>
          <t>Итого</t>
        </is>
      </c>
      <c r="B32" s="27" t="n">
        <v>2493442</v>
      </c>
      <c r="C32" s="27" t="n">
        <v>2318626.11</v>
      </c>
      <c r="D32" s="27" t="n">
        <v>174815.89</v>
      </c>
      <c r="E32" s="27" t="n">
        <v>62101.36</v>
      </c>
      <c r="F32" s="27" t="n">
        <v>51854</v>
      </c>
      <c r="G32" s="27" t="n">
        <v>10247.36</v>
      </c>
      <c r="H32" s="27" t="n">
        <v>185063.25</v>
      </c>
    </row>
    <row r="33"/>
    <row r="34" ht="18" customHeight="1">
      <c r="A34" s="28" t="inlineStr">
        <is>
          <t>На что смотреть в исходнике</t>
        </is>
      </c>
    </row>
    <row r="35" ht="28" customHeight="1">
      <c r="A35" s="29" t="inlineStr">
        <is>
          <t>Март 2026, вода: у «Люкс» стоит 1 555 ₽, в других месяцах около 222 ₽. Из-за этого перерасход воды за март отрицательный.</t>
        </is>
      </c>
    </row>
    <row r="36" ht="28" customHeight="1">
      <c r="A36" s="29" t="inlineStr">
        <is>
          <t>Май 2026, вода: суммы Сбера, Люкса и Чижика не введены показаниями, а посчитаны как 65 359 − свет, 16 340 − свет и 70 726 − свет.</t>
        </is>
      </c>
    </row>
    <row r="37" ht="28" customHeight="1">
      <c r="A37" s="29" t="inlineStr">
        <is>
          <t>Июль–сентябрь 2025 общий расход воды в исходнике — формула 2 278,25 × 1,2. Октябрь и ноябрь 2025 — 2 278 × 1,2. Декабрь 2025 — 2 733,9 × 1,2. Май 2026 — 3 736 × 1,22. Февраль 2026 — (25×39,77 + 25×34,24 + 12,5×34,24) × 1,22.</t>
        </is>
      </c>
    </row>
    <row r="38" ht="28" customHeight="1">
      <c r="A38" s="29" t="inlineStr">
        <is>
          <t>Тепло в эту сводку не входит: запрос был по свету, воде и электричеству. Свет и электричество на листе — одна строка.</t>
        </is>
      </c>
    </row>
    <row r="39"/>
  </sheetData>
  <mergeCells count="12">
    <mergeCell ref="A4:H4"/>
    <mergeCell ref="A3:H3"/>
    <mergeCell ref="A35:H35"/>
    <mergeCell ref="A38:H38"/>
    <mergeCell ref="A2:H2"/>
    <mergeCell ref="A36:H36"/>
    <mergeCell ref="A1:H1"/>
    <mergeCell ref="A37:H37"/>
    <mergeCell ref="B6:D6"/>
    <mergeCell ref="A6:A7"/>
    <mergeCell ref="E6:G6"/>
    <mergeCell ref="A34:H34"/>
  </mergeCells>
  <conditionalFormatting sqref="D8:D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8:G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H8:H31">
    <cfRule type="cellIs" priority="5" operator="greaterThan" dxfId="0">
      <formula>0</formula>
    </cfRule>
    <cfRule type="cellIs" priority="6" operator="lessThan" dxfId="1">
      <formula>0</formula>
    </cfRule>
  </conditionalFormatting>
  <pageMargins left="0.5" right="0.5" top="0.6" bottom="0.6" header="0.25" footer="0.25"/>
  <pageSetup orientation="landscape" paperSize="9" scale="70" fitToHeight="1" fitToWidth="1"/>
  <headerFooter>
    <oddHeader>&amp;LКостюкова · перерасход</oddHeader>
    <oddFooter>&amp;LПерерасход = общий расход − сумма арендаторов&amp;RСтр. 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showGridLines="0" zoomScale="11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26" customHeight="1">
      <c r="A1" s="30" t="inlineStr">
        <is>
          <t>Расшифровка: общий расход и арендаторы</t>
        </is>
      </c>
    </row>
    <row r="2" ht="32" customHeight="1">
      <c r="A2" s="2" t="inlineStr">
        <is>
          <t>Сумма колонок арендаторов равна колонке «Арендаторы» на листе «Перерасход». Пустая ячейка — арендатора в этом месяце на листе не было. Берлизов А. и Хрисанов А. сюда не включены.</t>
        </is>
      </c>
    </row>
    <row r="4" ht="32" customHeight="1">
      <c r="A4" s="11" t="inlineStr">
        <is>
          <t>Месяц</t>
        </is>
      </c>
      <c r="B4" s="11" t="inlineStr">
        <is>
          <t>Ресурс</t>
        </is>
      </c>
      <c r="C4" s="31" t="inlineStr">
        <is>
          <t>Общий расход</t>
        </is>
      </c>
      <c r="D4" s="32" t="inlineStr">
        <is>
          <t>Сбер</t>
        </is>
      </c>
      <c r="E4" s="32" t="inlineStr">
        <is>
          <t>Аркарго</t>
        </is>
      </c>
      <c r="F4" s="32" t="inlineStr">
        <is>
          <t>Кофе</t>
        </is>
      </c>
      <c r="G4" s="32" t="inlineStr">
        <is>
          <t>Люкс</t>
        </is>
      </c>
      <c r="H4" s="32" t="inlineStr">
        <is>
          <t>Клиника</t>
        </is>
      </c>
      <c r="I4" s="32" t="inlineStr">
        <is>
          <t>Водомат</t>
        </is>
      </c>
      <c r="J4" s="32" t="inlineStr">
        <is>
          <t>Чижик</t>
        </is>
      </c>
      <c r="K4" s="32" t="inlineStr">
        <is>
          <t>Пирожки</t>
        </is>
      </c>
      <c r="L4" s="12" t="inlineStr">
        <is>
          <t>Сумма арендаторов</t>
        </is>
      </c>
      <c r="M4" s="14" t="inlineStr">
        <is>
          <t>Перерасход</t>
        </is>
      </c>
    </row>
    <row r="5" ht="18" customHeight="1">
      <c r="A5" s="33" t="inlineStr">
        <is>
          <t>Декабрь 2024</t>
        </is>
      </c>
      <c r="B5" s="34" t="inlineStr">
        <is>
          <t>Свет (электричество)</t>
        </is>
      </c>
      <c r="C5" s="35" t="n">
        <v>87738</v>
      </c>
      <c r="D5" s="35" t="n">
        <v>45723</v>
      </c>
      <c r="E5" s="35" t="n">
        <v>6702</v>
      </c>
      <c r="F5" s="36" t="n"/>
      <c r="G5" s="36" t="n"/>
      <c r="H5" s="36" t="n"/>
      <c r="I5" s="36" t="n"/>
      <c r="J5" s="36" t="n"/>
      <c r="K5" s="36" t="n"/>
      <c r="L5" s="37" t="n">
        <v>52425</v>
      </c>
      <c r="M5" s="37" t="n">
        <v>35313</v>
      </c>
    </row>
    <row r="6" ht="18" customHeight="1">
      <c r="A6" s="38" t="inlineStr">
        <is>
          <t>Декабрь 2024</t>
        </is>
      </c>
      <c r="B6" s="39" t="inlineStr">
        <is>
          <t>Вода</t>
        </is>
      </c>
      <c r="C6" s="40" t="n">
        <v>503</v>
      </c>
      <c r="D6" s="40" t="n">
        <v>755</v>
      </c>
      <c r="E6" s="40" t="n">
        <v>503</v>
      </c>
      <c r="F6" s="41" t="n"/>
      <c r="G6" s="41" t="n"/>
      <c r="H6" s="41" t="n"/>
      <c r="I6" s="41" t="n"/>
      <c r="J6" s="41" t="n"/>
      <c r="K6" s="41" t="n"/>
      <c r="L6" s="42" t="n">
        <v>1258</v>
      </c>
      <c r="M6" s="42" t="n">
        <v>-755</v>
      </c>
    </row>
    <row r="7" ht="18" customHeight="1">
      <c r="A7" s="33" t="inlineStr">
        <is>
          <t>Январь 2025</t>
        </is>
      </c>
      <c r="B7" s="34" t="inlineStr">
        <is>
          <t>Свет (электричество)</t>
        </is>
      </c>
      <c r="C7" s="35" t="n">
        <v>80782</v>
      </c>
      <c r="D7" s="35" t="n">
        <v>54362</v>
      </c>
      <c r="E7" s="35" t="n">
        <v>8337</v>
      </c>
      <c r="F7" s="36" t="n"/>
      <c r="G7" s="36" t="n"/>
      <c r="H7" s="36" t="n"/>
      <c r="I7" s="36" t="n"/>
      <c r="J7" s="36" t="n"/>
      <c r="K7" s="36" t="n"/>
      <c r="L7" s="37" t="n">
        <v>62699</v>
      </c>
      <c r="M7" s="37" t="n">
        <v>18083</v>
      </c>
    </row>
    <row r="8" ht="18" customHeight="1">
      <c r="A8" s="38" t="inlineStr">
        <is>
          <t>Январь 2025</t>
        </is>
      </c>
      <c r="B8" s="39" t="inlineStr">
        <is>
          <t>Вода</t>
        </is>
      </c>
      <c r="C8" s="40" t="n">
        <v>0</v>
      </c>
      <c r="D8" s="40" t="n">
        <v>0</v>
      </c>
      <c r="E8" s="40" t="n">
        <v>656</v>
      </c>
      <c r="F8" s="41" t="n"/>
      <c r="G8" s="41" t="n"/>
      <c r="H8" s="41" t="n"/>
      <c r="I8" s="41" t="n"/>
      <c r="J8" s="41" t="n"/>
      <c r="K8" s="41" t="n"/>
      <c r="L8" s="42" t="n">
        <v>656</v>
      </c>
      <c r="M8" s="42" t="n">
        <v>-656</v>
      </c>
    </row>
    <row r="9" ht="18" customHeight="1">
      <c r="A9" s="33" t="inlineStr">
        <is>
          <t>Февраль 2025</t>
        </is>
      </c>
      <c r="B9" s="34" t="inlineStr">
        <is>
          <t>Свет (электричество)</t>
        </is>
      </c>
      <c r="C9" s="35" t="n">
        <v>85526</v>
      </c>
      <c r="D9" s="35" t="n">
        <v>64266</v>
      </c>
      <c r="E9" s="35" t="n">
        <v>19034</v>
      </c>
      <c r="F9" s="36" t="n"/>
      <c r="G9" s="36" t="n"/>
      <c r="H9" s="36" t="n"/>
      <c r="I9" s="36" t="n"/>
      <c r="J9" s="36" t="n"/>
      <c r="K9" s="36" t="n"/>
      <c r="L9" s="37" t="n">
        <v>83300</v>
      </c>
      <c r="M9" s="37" t="n">
        <v>2226</v>
      </c>
    </row>
    <row r="10" ht="18" customHeight="1">
      <c r="A10" s="38" t="inlineStr">
        <is>
          <t>Февраль 2025</t>
        </is>
      </c>
      <c r="B10" s="39" t="inlineStr">
        <is>
          <t>Вода</t>
        </is>
      </c>
      <c r="C10" s="40" t="n">
        <v>4156</v>
      </c>
      <c r="D10" s="40" t="n">
        <v>2625</v>
      </c>
      <c r="E10" s="40" t="n">
        <v>219</v>
      </c>
      <c r="F10" s="41" t="n"/>
      <c r="G10" s="41" t="n"/>
      <c r="H10" s="41" t="n"/>
      <c r="I10" s="41" t="n"/>
      <c r="J10" s="41" t="n"/>
      <c r="K10" s="41" t="n"/>
      <c r="L10" s="42" t="n">
        <v>2844</v>
      </c>
      <c r="M10" s="42" t="n">
        <v>1312</v>
      </c>
    </row>
    <row r="11" ht="18" customHeight="1">
      <c r="A11" s="33" t="inlineStr">
        <is>
          <t>Март 2025</t>
        </is>
      </c>
      <c r="B11" s="34" t="inlineStr">
        <is>
          <t>Свет (электричество)</t>
        </is>
      </c>
      <c r="C11" s="35" t="n">
        <v>71086</v>
      </c>
      <c r="D11" s="35" t="n">
        <v>51472</v>
      </c>
      <c r="E11" s="35" t="n">
        <v>10946</v>
      </c>
      <c r="F11" s="35" t="n">
        <v>2786</v>
      </c>
      <c r="G11" s="36" t="n"/>
      <c r="H11" s="36" t="n"/>
      <c r="I11" s="36" t="n"/>
      <c r="J11" s="36" t="n"/>
      <c r="K11" s="36" t="n"/>
      <c r="L11" s="37" t="n">
        <v>65204</v>
      </c>
      <c r="M11" s="37" t="n">
        <v>5882</v>
      </c>
    </row>
    <row r="12" ht="18" customHeight="1">
      <c r="A12" s="38" t="inlineStr">
        <is>
          <t>Март 2025</t>
        </is>
      </c>
      <c r="B12" s="39" t="inlineStr">
        <is>
          <t>Вода</t>
        </is>
      </c>
      <c r="C12" s="40" t="n">
        <v>5687</v>
      </c>
      <c r="D12" s="40" t="n">
        <v>1422</v>
      </c>
      <c r="E12" s="40" t="n">
        <v>656</v>
      </c>
      <c r="F12" s="40" t="n">
        <v>0</v>
      </c>
      <c r="G12" s="41" t="n"/>
      <c r="H12" s="41" t="n"/>
      <c r="I12" s="41" t="n"/>
      <c r="J12" s="41" t="n"/>
      <c r="K12" s="41" t="n"/>
      <c r="L12" s="42" t="n">
        <v>2078</v>
      </c>
      <c r="M12" s="42" t="n">
        <v>3609</v>
      </c>
    </row>
    <row r="13" ht="18" customHeight="1">
      <c r="A13" s="33" t="inlineStr">
        <is>
          <t>Апрель 2025</t>
        </is>
      </c>
      <c r="B13" s="34" t="inlineStr">
        <is>
          <t>Свет (электричество)</t>
        </is>
      </c>
      <c r="C13" s="35" t="n">
        <v>69650</v>
      </c>
      <c r="D13" s="35" t="n">
        <v>56107</v>
      </c>
      <c r="E13" s="35" t="n">
        <v>7932</v>
      </c>
      <c r="F13" s="35" t="n">
        <v>2333</v>
      </c>
      <c r="G13" s="36" t="n"/>
      <c r="H13" s="36" t="n"/>
      <c r="I13" s="36" t="n"/>
      <c r="J13" s="36" t="n"/>
      <c r="K13" s="36" t="n"/>
      <c r="L13" s="37" t="n">
        <v>66372</v>
      </c>
      <c r="M13" s="37" t="n">
        <v>3278</v>
      </c>
    </row>
    <row r="14" ht="18" customHeight="1">
      <c r="A14" s="38" t="inlineStr">
        <is>
          <t>Апрель 2025</t>
        </is>
      </c>
      <c r="B14" s="39" t="inlineStr">
        <is>
          <t>Вода</t>
        </is>
      </c>
      <c r="C14" s="40" t="n">
        <v>3827</v>
      </c>
      <c r="D14" s="40" t="n">
        <v>1531</v>
      </c>
      <c r="E14" s="40" t="n">
        <v>984</v>
      </c>
      <c r="F14" s="40" t="n">
        <v>109</v>
      </c>
      <c r="G14" s="41" t="n"/>
      <c r="H14" s="41" t="n"/>
      <c r="I14" s="41" t="n"/>
      <c r="J14" s="41" t="n"/>
      <c r="K14" s="41" t="n"/>
      <c r="L14" s="42" t="n">
        <v>2624</v>
      </c>
      <c r="M14" s="42" t="n">
        <v>1203</v>
      </c>
    </row>
    <row r="15" ht="18" customHeight="1">
      <c r="A15" s="33" t="inlineStr">
        <is>
          <t>Май 2025</t>
        </is>
      </c>
      <c r="B15" s="34" t="inlineStr">
        <is>
          <t>Свет (электричество)</t>
        </is>
      </c>
      <c r="C15" s="35" t="n">
        <v>57170</v>
      </c>
      <c r="D15" s="35" t="n">
        <v>45855</v>
      </c>
      <c r="E15" s="35" t="n">
        <v>6199</v>
      </c>
      <c r="F15" s="35" t="n">
        <v>1748</v>
      </c>
      <c r="G15" s="36" t="n"/>
      <c r="H15" s="36" t="n"/>
      <c r="I15" s="36" t="n"/>
      <c r="J15" s="36" t="n"/>
      <c r="K15" s="36" t="n"/>
      <c r="L15" s="37" t="n">
        <v>53802</v>
      </c>
      <c r="M15" s="37" t="n">
        <v>3368</v>
      </c>
    </row>
    <row r="16" ht="18" customHeight="1">
      <c r="A16" s="38" t="inlineStr">
        <is>
          <t>Май 2025</t>
        </is>
      </c>
      <c r="B16" s="39" t="inlineStr">
        <is>
          <t>Вода</t>
        </is>
      </c>
      <c r="C16" s="40" t="n">
        <v>3190</v>
      </c>
      <c r="D16" s="40" t="n">
        <v>984</v>
      </c>
      <c r="E16" s="40" t="n">
        <v>547</v>
      </c>
      <c r="F16" s="40" t="n">
        <v>0</v>
      </c>
      <c r="G16" s="41" t="n"/>
      <c r="H16" s="41" t="n"/>
      <c r="I16" s="41" t="n"/>
      <c r="J16" s="41" t="n"/>
      <c r="K16" s="41" t="n"/>
      <c r="L16" s="42" t="n">
        <v>1531</v>
      </c>
      <c r="M16" s="42" t="n">
        <v>1659</v>
      </c>
    </row>
    <row r="17" ht="18" customHeight="1">
      <c r="A17" s="33" t="inlineStr">
        <is>
          <t>Июнь 2025</t>
        </is>
      </c>
      <c r="B17" s="34" t="inlineStr">
        <is>
          <t>Свет (электричество)</t>
        </is>
      </c>
      <c r="C17" s="35" t="n">
        <v>65413</v>
      </c>
      <c r="D17" s="35" t="n">
        <v>52229</v>
      </c>
      <c r="E17" s="35" t="n">
        <v>5840</v>
      </c>
      <c r="F17" s="35" t="n">
        <v>119</v>
      </c>
      <c r="G17" s="36" t="n"/>
      <c r="H17" s="36" t="n"/>
      <c r="I17" s="36" t="n"/>
      <c r="J17" s="36" t="n"/>
      <c r="K17" s="36" t="n"/>
      <c r="L17" s="37" t="n">
        <v>58188</v>
      </c>
      <c r="M17" s="37" t="n">
        <v>7225</v>
      </c>
    </row>
    <row r="18" ht="18" customHeight="1">
      <c r="A18" s="38" t="inlineStr">
        <is>
          <t>Июнь 2025</t>
        </is>
      </c>
      <c r="B18" s="39" t="inlineStr">
        <is>
          <t>Вода</t>
        </is>
      </c>
      <c r="C18" s="40" t="n">
        <v>2187</v>
      </c>
      <c r="D18" s="40" t="n">
        <v>1531</v>
      </c>
      <c r="E18" s="40" t="n">
        <v>547</v>
      </c>
      <c r="F18" s="40" t="n">
        <v>0</v>
      </c>
      <c r="G18" s="41" t="n"/>
      <c r="H18" s="41" t="n"/>
      <c r="I18" s="41" t="n"/>
      <c r="J18" s="41" t="n"/>
      <c r="K18" s="41" t="n"/>
      <c r="L18" s="42" t="n">
        <v>2078</v>
      </c>
      <c r="M18" s="42" t="n">
        <v>109</v>
      </c>
    </row>
    <row r="19" ht="18" customHeight="1">
      <c r="A19" s="33" t="inlineStr">
        <is>
          <t>Июль 2025</t>
        </is>
      </c>
      <c r="B19" s="34" t="inlineStr">
        <is>
          <t>Свет (электричество)</t>
        </is>
      </c>
      <c r="C19" s="35" t="n">
        <v>77716</v>
      </c>
      <c r="D19" s="35" t="n">
        <v>62715</v>
      </c>
      <c r="E19" s="36" t="n"/>
      <c r="F19" s="35" t="n">
        <v>0</v>
      </c>
      <c r="G19" s="35" t="n">
        <v>4987</v>
      </c>
      <c r="H19" s="36" t="n"/>
      <c r="I19" s="36" t="n"/>
      <c r="J19" s="36" t="n"/>
      <c r="K19" s="36" t="n"/>
      <c r="L19" s="37" t="n">
        <v>67702</v>
      </c>
      <c r="M19" s="37" t="n">
        <v>10014</v>
      </c>
    </row>
    <row r="20" ht="18" customHeight="1">
      <c r="A20" s="38" t="inlineStr">
        <is>
          <t>Июль 2025</t>
        </is>
      </c>
      <c r="B20" s="39" t="inlineStr">
        <is>
          <t>Вода</t>
        </is>
      </c>
      <c r="C20" s="40" t="n">
        <v>2733.9</v>
      </c>
      <c r="D20" s="40" t="n">
        <v>1422</v>
      </c>
      <c r="E20" s="41" t="n"/>
      <c r="F20" s="40" t="n">
        <v>0</v>
      </c>
      <c r="G20" s="40" t="n">
        <v>109</v>
      </c>
      <c r="H20" s="41" t="n"/>
      <c r="I20" s="41" t="n"/>
      <c r="J20" s="41" t="n"/>
      <c r="K20" s="41" t="n"/>
      <c r="L20" s="42" t="n">
        <v>1531</v>
      </c>
      <c r="M20" s="42" t="n">
        <v>1202.9</v>
      </c>
    </row>
    <row r="21" ht="18" customHeight="1">
      <c r="A21" s="33" t="inlineStr">
        <is>
          <t>Август 2025</t>
        </is>
      </c>
      <c r="B21" s="34" t="inlineStr">
        <is>
          <t>Свет (электричество)</t>
        </is>
      </c>
      <c r="C21" s="35" t="n">
        <v>109691</v>
      </c>
      <c r="D21" s="35" t="n">
        <v>83385</v>
      </c>
      <c r="E21" s="36" t="n"/>
      <c r="F21" s="36" t="n"/>
      <c r="G21" s="35" t="n">
        <v>19154</v>
      </c>
      <c r="H21" s="36" t="n"/>
      <c r="I21" s="36" t="n"/>
      <c r="J21" s="36" t="n"/>
      <c r="K21" s="36" t="n"/>
      <c r="L21" s="37" t="n">
        <v>102539</v>
      </c>
      <c r="M21" s="37" t="n">
        <v>7152</v>
      </c>
    </row>
    <row r="22" ht="18" customHeight="1">
      <c r="A22" s="38" t="inlineStr">
        <is>
          <t>Август 2025</t>
        </is>
      </c>
      <c r="B22" s="39" t="inlineStr">
        <is>
          <t>Вода</t>
        </is>
      </c>
      <c r="C22" s="40" t="n">
        <v>2733.9</v>
      </c>
      <c r="D22" s="40" t="n">
        <v>1531</v>
      </c>
      <c r="E22" s="41" t="n"/>
      <c r="F22" s="41" t="n"/>
      <c r="G22" s="40" t="n">
        <v>109</v>
      </c>
      <c r="H22" s="41" t="n"/>
      <c r="I22" s="41" t="n"/>
      <c r="J22" s="41" t="n"/>
      <c r="K22" s="41" t="n"/>
      <c r="L22" s="42" t="n">
        <v>1640</v>
      </c>
      <c r="M22" s="42" t="n">
        <v>1093.9</v>
      </c>
    </row>
    <row r="23" ht="18" customHeight="1">
      <c r="A23" s="33" t="inlineStr">
        <is>
          <t>Сентябрь 2025</t>
        </is>
      </c>
      <c r="B23" s="34" t="inlineStr">
        <is>
          <t>Свет (электричество)</t>
        </is>
      </c>
      <c r="C23" s="35" t="n">
        <v>81090</v>
      </c>
      <c r="D23" s="35" t="n">
        <v>63438</v>
      </c>
      <c r="E23" s="36" t="n"/>
      <c r="F23" s="36" t="n"/>
      <c r="G23" s="35" t="n">
        <v>15078</v>
      </c>
      <c r="H23" s="35" t="n">
        <v>1912.26</v>
      </c>
      <c r="I23" s="35" t="n">
        <v>1263.85</v>
      </c>
      <c r="J23" s="36" t="n"/>
      <c r="K23" s="36" t="n"/>
      <c r="L23" s="37" t="n">
        <v>81692.11</v>
      </c>
      <c r="M23" s="37" t="n">
        <v>-602.11</v>
      </c>
    </row>
    <row r="24" ht="18" customHeight="1">
      <c r="A24" s="38" t="inlineStr">
        <is>
          <t>Сентябрь 2025</t>
        </is>
      </c>
      <c r="B24" s="39" t="inlineStr">
        <is>
          <t>Вода</t>
        </is>
      </c>
      <c r="C24" s="40" t="n">
        <v>2733.9</v>
      </c>
      <c r="D24" s="40" t="n">
        <v>1531</v>
      </c>
      <c r="E24" s="41" t="n"/>
      <c r="F24" s="41" t="n"/>
      <c r="G24" s="40" t="n">
        <v>109</v>
      </c>
      <c r="H24" s="40" t="n">
        <v>0</v>
      </c>
      <c r="I24" s="40" t="n">
        <v>875</v>
      </c>
      <c r="J24" s="41" t="n"/>
      <c r="K24" s="41" t="n"/>
      <c r="L24" s="42" t="n">
        <v>2515</v>
      </c>
      <c r="M24" s="42" t="n">
        <v>218.9</v>
      </c>
    </row>
    <row r="25" ht="18" customHeight="1">
      <c r="A25" s="33" t="inlineStr">
        <is>
          <t>Октябрь 2025</t>
        </is>
      </c>
      <c r="B25" s="34" t="inlineStr">
        <is>
          <t>Свет (электричество)</t>
        </is>
      </c>
      <c r="C25" s="35" t="n">
        <v>111437</v>
      </c>
      <c r="D25" s="35" t="n">
        <v>51494</v>
      </c>
      <c r="E25" s="36" t="n"/>
      <c r="F25" s="36" t="n"/>
      <c r="G25" s="35" t="n">
        <v>13369</v>
      </c>
      <c r="H25" s="35" t="n">
        <v>2029</v>
      </c>
      <c r="I25" s="35" t="n">
        <v>1263</v>
      </c>
      <c r="J25" s="35" t="n">
        <v>26781</v>
      </c>
      <c r="K25" s="36" t="n"/>
      <c r="L25" s="37" t="n">
        <v>94936</v>
      </c>
      <c r="M25" s="37" t="n">
        <v>16501</v>
      </c>
    </row>
    <row r="26" ht="18" customHeight="1">
      <c r="A26" s="38" t="inlineStr">
        <is>
          <t>Октябрь 2025</t>
        </is>
      </c>
      <c r="B26" s="39" t="inlineStr">
        <is>
          <t>Вода</t>
        </is>
      </c>
      <c r="C26" s="40" t="n">
        <v>2733.6</v>
      </c>
      <c r="D26" s="40" t="n">
        <v>1312</v>
      </c>
      <c r="E26" s="41" t="n"/>
      <c r="F26" s="41" t="n"/>
      <c r="G26" s="40" t="n">
        <v>219</v>
      </c>
      <c r="H26" s="40" t="n">
        <v>0</v>
      </c>
      <c r="I26" s="40" t="n">
        <v>874</v>
      </c>
      <c r="J26" s="40" t="n">
        <v>437</v>
      </c>
      <c r="K26" s="41" t="n"/>
      <c r="L26" s="42" t="n">
        <v>2842</v>
      </c>
      <c r="M26" s="42" t="n">
        <v>-108.4</v>
      </c>
    </row>
    <row r="27" ht="18" customHeight="1">
      <c r="A27" s="33" t="inlineStr">
        <is>
          <t>Ноябрь 2025</t>
        </is>
      </c>
      <c r="B27" s="34" t="inlineStr">
        <is>
          <t>Свет (электричество)</t>
        </is>
      </c>
      <c r="C27" s="35" t="n">
        <v>161060</v>
      </c>
      <c r="D27" s="35" t="n">
        <v>70728</v>
      </c>
      <c r="E27" s="36" t="n"/>
      <c r="F27" s="36" t="n"/>
      <c r="G27" s="35" t="n">
        <v>15751</v>
      </c>
      <c r="H27" s="35" t="n">
        <v>1599</v>
      </c>
      <c r="I27" s="35" t="n">
        <v>2349</v>
      </c>
      <c r="J27" s="35" t="n">
        <v>66124</v>
      </c>
      <c r="K27" s="35" t="n">
        <v>5162</v>
      </c>
      <c r="L27" s="37" t="n">
        <v>161713</v>
      </c>
      <c r="M27" s="37" t="n">
        <v>-653</v>
      </c>
    </row>
    <row r="28" ht="18" customHeight="1">
      <c r="A28" s="38" t="inlineStr">
        <is>
          <t>Ноябрь 2025</t>
        </is>
      </c>
      <c r="B28" s="39" t="inlineStr">
        <is>
          <t>Вода</t>
        </is>
      </c>
      <c r="C28" s="40" t="n">
        <v>2733.6</v>
      </c>
      <c r="D28" s="40" t="n">
        <v>1640</v>
      </c>
      <c r="E28" s="41" t="n"/>
      <c r="F28" s="41" t="n"/>
      <c r="G28" s="40" t="n">
        <v>307</v>
      </c>
      <c r="H28" s="40" t="n">
        <v>0</v>
      </c>
      <c r="I28" s="40" t="n">
        <v>218</v>
      </c>
      <c r="J28" s="40" t="n">
        <v>437</v>
      </c>
      <c r="K28" s="40" t="n">
        <v>130</v>
      </c>
      <c r="L28" s="42" t="n">
        <v>2732</v>
      </c>
      <c r="M28" s="42" t="n">
        <v>1.6</v>
      </c>
    </row>
    <row r="29" ht="18" customHeight="1">
      <c r="A29" s="33" t="inlineStr">
        <is>
          <t>Декабрь 2025</t>
        </is>
      </c>
      <c r="B29" s="34" t="inlineStr">
        <is>
          <t>Свет (электричество)</t>
        </is>
      </c>
      <c r="C29" s="35" t="n">
        <v>158400</v>
      </c>
      <c r="D29" s="35" t="n">
        <v>68212</v>
      </c>
      <c r="E29" s="36" t="n"/>
      <c r="F29" s="36" t="n"/>
      <c r="G29" s="35" t="n">
        <v>13868</v>
      </c>
      <c r="H29" s="35" t="n">
        <v>1636</v>
      </c>
      <c r="I29" s="35" t="n">
        <v>2978</v>
      </c>
      <c r="J29" s="35" t="n">
        <v>59566</v>
      </c>
      <c r="K29" s="35" t="n">
        <v>3470</v>
      </c>
      <c r="L29" s="37" t="n">
        <v>149730</v>
      </c>
      <c r="M29" s="37" t="n">
        <v>8670</v>
      </c>
    </row>
    <row r="30" ht="18" customHeight="1">
      <c r="A30" s="38" t="inlineStr">
        <is>
          <t>Декабрь 2025</t>
        </is>
      </c>
      <c r="B30" s="39" t="inlineStr">
        <is>
          <t>Вода</t>
        </is>
      </c>
      <c r="C30" s="40" t="n">
        <v>3280.68</v>
      </c>
      <c r="D30" s="40" t="n">
        <v>1312</v>
      </c>
      <c r="E30" s="41" t="n"/>
      <c r="F30" s="41" t="n"/>
      <c r="G30" s="40" t="n">
        <v>219</v>
      </c>
      <c r="H30" s="40" t="n">
        <v>0</v>
      </c>
      <c r="I30" s="40" t="n">
        <v>219</v>
      </c>
      <c r="J30" s="40" t="n">
        <v>547</v>
      </c>
      <c r="K30" s="40" t="n">
        <v>219</v>
      </c>
      <c r="L30" s="42" t="n">
        <v>2516</v>
      </c>
      <c r="M30" s="42" t="n">
        <v>764.6799999999999</v>
      </c>
    </row>
    <row r="31" ht="18" customHeight="1">
      <c r="A31" s="33" t="inlineStr">
        <is>
          <t>Январь 2026</t>
        </is>
      </c>
      <c r="B31" s="34" t="inlineStr">
        <is>
          <t>Свет (электричество)</t>
        </is>
      </c>
      <c r="C31" s="35" t="n">
        <v>151790</v>
      </c>
      <c r="D31" s="35" t="n">
        <v>65111</v>
      </c>
      <c r="E31" s="36" t="n"/>
      <c r="F31" s="36" t="n"/>
      <c r="G31" s="35" t="n">
        <v>15404</v>
      </c>
      <c r="H31" s="35" t="n">
        <v>1890</v>
      </c>
      <c r="I31" s="35" t="n">
        <v>3171</v>
      </c>
      <c r="J31" s="35" t="n">
        <v>56488</v>
      </c>
      <c r="K31" s="35" t="n">
        <v>3702</v>
      </c>
      <c r="L31" s="37" t="n">
        <v>145766</v>
      </c>
      <c r="M31" s="37" t="n">
        <v>6024</v>
      </c>
    </row>
    <row r="32" ht="18" customHeight="1">
      <c r="A32" s="38" t="inlineStr">
        <is>
          <t>Январь 2026</t>
        </is>
      </c>
      <c r="B32" s="39" t="inlineStr">
        <is>
          <t>Вода</t>
        </is>
      </c>
      <c r="C32" s="40" t="n">
        <v>2445.39</v>
      </c>
      <c r="D32" s="40" t="n">
        <v>1112</v>
      </c>
      <c r="E32" s="41" t="n"/>
      <c r="F32" s="41" t="n"/>
      <c r="G32" s="40" t="n">
        <v>222</v>
      </c>
      <c r="H32" s="40" t="n">
        <v>0</v>
      </c>
      <c r="I32" s="40" t="n">
        <v>112</v>
      </c>
      <c r="J32" s="40" t="n">
        <v>556</v>
      </c>
      <c r="K32" s="40" t="n">
        <v>222</v>
      </c>
      <c r="L32" s="42" t="n">
        <v>2224</v>
      </c>
      <c r="M32" s="42" t="n">
        <v>221.39</v>
      </c>
    </row>
    <row r="33" ht="18" customHeight="1">
      <c r="A33" s="33" t="inlineStr">
        <is>
          <t>Февраль 2026</t>
        </is>
      </c>
      <c r="B33" s="34" t="inlineStr">
        <is>
          <t>Свет (электричество)</t>
        </is>
      </c>
      <c r="C33" s="35" t="n">
        <v>174213</v>
      </c>
      <c r="D33" s="35" t="n">
        <v>75644</v>
      </c>
      <c r="E33" s="36" t="n"/>
      <c r="F33" s="36" t="n"/>
      <c r="G33" s="35" t="n">
        <v>21249</v>
      </c>
      <c r="H33" s="35" t="n">
        <v>1552</v>
      </c>
      <c r="I33" s="35" t="n">
        <v>3266</v>
      </c>
      <c r="J33" s="35" t="n">
        <v>64616</v>
      </c>
      <c r="K33" s="35" t="n">
        <v>4609</v>
      </c>
      <c r="L33" s="37" t="n">
        <v>170936</v>
      </c>
      <c r="M33" s="37" t="n">
        <v>3277</v>
      </c>
    </row>
    <row r="34" ht="18" customHeight="1">
      <c r="A34" s="38" t="inlineStr">
        <is>
          <t>Февраль 2026</t>
        </is>
      </c>
      <c r="B34" s="39" t="inlineStr">
        <is>
          <t>Вода</t>
        </is>
      </c>
      <c r="C34" s="40" t="n">
        <v>2779.47</v>
      </c>
      <c r="D34" s="40" t="n">
        <v>1332</v>
      </c>
      <c r="E34" s="41" t="n"/>
      <c r="F34" s="41" t="n"/>
      <c r="G34" s="40" t="n">
        <v>222</v>
      </c>
      <c r="H34" s="40" t="n">
        <v>0</v>
      </c>
      <c r="I34" s="40" t="n">
        <v>111</v>
      </c>
      <c r="J34" s="40" t="n">
        <v>444</v>
      </c>
      <c r="K34" s="40" t="n">
        <v>222</v>
      </c>
      <c r="L34" s="42" t="n">
        <v>2331</v>
      </c>
      <c r="M34" s="42" t="n">
        <v>448.47</v>
      </c>
    </row>
    <row r="35" ht="18" customHeight="1">
      <c r="A35" s="33" t="inlineStr">
        <is>
          <t>Март 2026</t>
        </is>
      </c>
      <c r="B35" s="34" t="inlineStr">
        <is>
          <t>Свет (электричество)</t>
        </is>
      </c>
      <c r="C35" s="35" t="n">
        <v>164677</v>
      </c>
      <c r="D35" s="35" t="n">
        <v>55834</v>
      </c>
      <c r="E35" s="36" t="n"/>
      <c r="F35" s="36" t="n"/>
      <c r="G35" s="35" t="n">
        <v>12927</v>
      </c>
      <c r="H35" s="35" t="n">
        <v>1392</v>
      </c>
      <c r="I35" s="35" t="n">
        <v>1833</v>
      </c>
      <c r="J35" s="35" t="n">
        <v>56781</v>
      </c>
      <c r="K35" s="35" t="n">
        <v>2818</v>
      </c>
      <c r="L35" s="37" t="n">
        <v>131585</v>
      </c>
      <c r="M35" s="37" t="n">
        <v>33092</v>
      </c>
    </row>
    <row r="36" ht="18" customHeight="1">
      <c r="A36" s="38" t="inlineStr">
        <is>
          <t>Март 2026</t>
        </is>
      </c>
      <c r="B36" s="39" t="inlineStr">
        <is>
          <t>Вода</t>
        </is>
      </c>
      <c r="C36" s="40" t="n">
        <v>3113</v>
      </c>
      <c r="D36" s="40" t="n">
        <v>1110</v>
      </c>
      <c r="E36" s="41" t="n"/>
      <c r="F36" s="41" t="n"/>
      <c r="G36" s="40" t="n">
        <v>1555</v>
      </c>
      <c r="H36" s="40" t="n">
        <v>0</v>
      </c>
      <c r="I36" s="40" t="n">
        <v>332</v>
      </c>
      <c r="J36" s="40" t="n">
        <v>554</v>
      </c>
      <c r="K36" s="40" t="n">
        <v>348</v>
      </c>
      <c r="L36" s="42" t="n">
        <v>3899</v>
      </c>
      <c r="M36" s="42" t="n">
        <v>-786</v>
      </c>
    </row>
    <row r="37" ht="18" customHeight="1">
      <c r="A37" s="33" t="inlineStr">
        <is>
          <t>Апрель 2026</t>
        </is>
      </c>
      <c r="B37" s="34" t="inlineStr">
        <is>
          <t>Свет (электричество)</t>
        </is>
      </c>
      <c r="C37" s="35" t="n">
        <v>133379</v>
      </c>
      <c r="D37" s="35" t="n">
        <v>56677</v>
      </c>
      <c r="E37" s="36" t="n"/>
      <c r="F37" s="36" t="n"/>
      <c r="G37" s="35" t="n">
        <v>14380</v>
      </c>
      <c r="H37" s="35" t="n">
        <v>1958</v>
      </c>
      <c r="I37" s="35" t="n">
        <v>1168</v>
      </c>
      <c r="J37" s="35" t="n">
        <v>66658</v>
      </c>
      <c r="K37" s="35" t="n">
        <v>2938</v>
      </c>
      <c r="L37" s="37" t="n">
        <v>143779</v>
      </c>
      <c r="M37" s="37" t="n">
        <v>-10400</v>
      </c>
    </row>
    <row r="38" ht="18" customHeight="1">
      <c r="A38" s="38" t="inlineStr">
        <is>
          <t>Апрель 2026</t>
        </is>
      </c>
      <c r="B38" s="39" t="inlineStr">
        <is>
          <t>Вода</t>
        </is>
      </c>
      <c r="C38" s="40" t="n">
        <v>3479</v>
      </c>
      <c r="D38" s="40" t="n">
        <v>1444</v>
      </c>
      <c r="E38" s="41" t="n"/>
      <c r="F38" s="41" t="n"/>
      <c r="G38" s="40" t="n">
        <v>444</v>
      </c>
      <c r="H38" s="40" t="n">
        <v>0</v>
      </c>
      <c r="I38" s="40" t="n">
        <v>444</v>
      </c>
      <c r="J38" s="40" t="n">
        <v>777</v>
      </c>
      <c r="K38" s="40" t="n">
        <v>219</v>
      </c>
      <c r="L38" s="42" t="n">
        <v>3328</v>
      </c>
      <c r="M38" s="42" t="n">
        <v>151</v>
      </c>
    </row>
    <row r="39" ht="18" customHeight="1">
      <c r="A39" s="33" t="inlineStr">
        <is>
          <t>Май 2026</t>
        </is>
      </c>
      <c r="B39" s="34" t="inlineStr">
        <is>
          <t>Свет (электричество)</t>
        </is>
      </c>
      <c r="C39" s="35" t="n">
        <v>184738</v>
      </c>
      <c r="D39" s="35" t="n">
        <v>64025</v>
      </c>
      <c r="E39" s="36" t="n"/>
      <c r="F39" s="36" t="n"/>
      <c r="G39" s="35" t="n">
        <v>15896</v>
      </c>
      <c r="H39" s="35" t="n">
        <v>2188</v>
      </c>
      <c r="I39" s="35" t="n">
        <v>678</v>
      </c>
      <c r="J39" s="35" t="n">
        <v>70060</v>
      </c>
      <c r="K39" s="35" t="n">
        <v>3413</v>
      </c>
      <c r="L39" s="37" t="n">
        <v>156260</v>
      </c>
      <c r="M39" s="37" t="n">
        <v>28478</v>
      </c>
    </row>
    <row r="40" ht="18" customHeight="1">
      <c r="A40" s="38" t="inlineStr">
        <is>
          <t>Май 2026</t>
        </is>
      </c>
      <c r="B40" s="39" t="inlineStr">
        <is>
          <t>Вода</t>
        </is>
      </c>
      <c r="C40" s="40" t="n">
        <v>4557.92</v>
      </c>
      <c r="D40" s="40" t="n">
        <v>1334</v>
      </c>
      <c r="E40" s="41" t="n"/>
      <c r="F40" s="41" t="n"/>
      <c r="G40" s="40" t="n">
        <v>444</v>
      </c>
      <c r="H40" s="40" t="n">
        <v>0</v>
      </c>
      <c r="I40" s="40" t="n">
        <v>444</v>
      </c>
      <c r="J40" s="40" t="n">
        <v>666</v>
      </c>
      <c r="K40" s="40" t="n">
        <v>333</v>
      </c>
      <c r="L40" s="42" t="n">
        <v>3221</v>
      </c>
      <c r="M40" s="42" t="n">
        <v>1336.92</v>
      </c>
    </row>
    <row r="41" ht="18" customHeight="1">
      <c r="A41" s="33" t="inlineStr">
        <is>
          <t>Июнь 2026</t>
        </is>
      </c>
      <c r="B41" s="34" t="inlineStr">
        <is>
          <t>Свет (электричество)</t>
        </is>
      </c>
      <c r="C41" s="35" t="n">
        <v>155822</v>
      </c>
      <c r="D41" s="35" t="n">
        <v>62854</v>
      </c>
      <c r="E41" s="36" t="n"/>
      <c r="F41" s="36" t="n"/>
      <c r="G41" s="35" t="n">
        <v>16090</v>
      </c>
      <c r="H41" s="35" t="n">
        <v>1556</v>
      </c>
      <c r="I41" s="35" t="n">
        <v>278</v>
      </c>
      <c r="J41" s="35" t="n">
        <v>75504</v>
      </c>
      <c r="K41" s="35" t="n">
        <v>3415</v>
      </c>
      <c r="L41" s="37" t="n">
        <v>159697</v>
      </c>
      <c r="M41" s="37" t="n">
        <v>-3875</v>
      </c>
    </row>
    <row r="42" ht="18" customHeight="1">
      <c r="A42" s="38" t="inlineStr">
        <is>
          <t>Июнь 2026</t>
        </is>
      </c>
      <c r="B42" s="39" t="inlineStr">
        <is>
          <t>Вода</t>
        </is>
      </c>
      <c r="C42" s="40" t="n">
        <v>2001</v>
      </c>
      <c r="D42" s="40" t="n">
        <v>1224</v>
      </c>
      <c r="E42" s="41" t="n"/>
      <c r="F42" s="41" t="n"/>
      <c r="G42" s="40" t="n">
        <v>445</v>
      </c>
      <c r="H42" s="40" t="n">
        <v>0</v>
      </c>
      <c r="I42" s="40" t="n">
        <v>889</v>
      </c>
      <c r="J42" s="40" t="n">
        <v>556</v>
      </c>
      <c r="K42" s="40" t="n">
        <v>890</v>
      </c>
      <c r="L42" s="42" t="n">
        <v>4004</v>
      </c>
      <c r="M42" s="42" t="n">
        <v>-2003</v>
      </c>
    </row>
    <row r="43" ht="18" customHeight="1">
      <c r="A43" s="33" t="inlineStr">
        <is>
          <t>Июль 2026</t>
        </is>
      </c>
      <c r="B43" s="34" t="inlineStr">
        <is>
          <t>Свет (электричество)</t>
        </is>
      </c>
      <c r="C43" s="35" t="n">
        <v>153460</v>
      </c>
      <c r="D43" s="35" t="n">
        <v>61045</v>
      </c>
      <c r="E43" s="36" t="n"/>
      <c r="F43" s="36" t="n"/>
      <c r="G43" s="35" t="n">
        <v>14569</v>
      </c>
      <c r="H43" s="35" t="n">
        <v>1814</v>
      </c>
      <c r="I43" s="35" t="n">
        <v>205</v>
      </c>
      <c r="J43" s="35" t="n">
        <v>70967</v>
      </c>
      <c r="K43" s="35" t="n">
        <v>2157</v>
      </c>
      <c r="L43" s="37" t="n">
        <v>150757</v>
      </c>
      <c r="M43" s="37" t="n">
        <v>2703</v>
      </c>
    </row>
    <row r="44" ht="18" customHeight="1">
      <c r="A44" s="38" t="inlineStr">
        <is>
          <t>Июль 2026</t>
        </is>
      </c>
      <c r="B44" s="39" t="inlineStr">
        <is>
          <t>Вода</t>
        </is>
      </c>
      <c r="C44" s="40" t="n">
        <v>2001</v>
      </c>
      <c r="D44" s="40" t="n">
        <v>1112</v>
      </c>
      <c r="E44" s="41" t="n"/>
      <c r="F44" s="41" t="n"/>
      <c r="G44" s="40" t="n">
        <v>222</v>
      </c>
      <c r="H44" s="40" t="n">
        <v>0</v>
      </c>
      <c r="I44" s="40" t="n">
        <v>667</v>
      </c>
      <c r="J44" s="40" t="n">
        <v>556</v>
      </c>
      <c r="K44" s="40" t="n">
        <v>444</v>
      </c>
      <c r="L44" s="42" t="n">
        <v>3001</v>
      </c>
      <c r="M44" s="42" t="n">
        <v>-1000</v>
      </c>
    </row>
    <row r="45" ht="18" customHeight="1">
      <c r="A45" s="33" t="inlineStr">
        <is>
          <t>Август 2026</t>
        </is>
      </c>
      <c r="B45" s="34" t="inlineStr">
        <is>
          <t>Свет (электричество)</t>
        </is>
      </c>
      <c r="C45" s="35" t="n">
        <v>158604</v>
      </c>
      <c r="D45" s="35" t="n">
        <v>67181</v>
      </c>
      <c r="E45" s="36" t="n"/>
      <c r="F45" s="36" t="n"/>
      <c r="G45" s="35" t="n">
        <v>14974</v>
      </c>
      <c r="H45" s="35" t="n">
        <v>1865</v>
      </c>
      <c r="I45" s="35" t="n">
        <v>211</v>
      </c>
      <c r="J45" s="35" t="n">
        <v>72938</v>
      </c>
      <c r="K45" s="35" t="n">
        <v>2375</v>
      </c>
      <c r="L45" s="37" t="n">
        <v>159544</v>
      </c>
      <c r="M45" s="37" t="n">
        <v>-940</v>
      </c>
    </row>
    <row r="46" ht="18" customHeight="1">
      <c r="A46" s="38" t="inlineStr">
        <is>
          <t>Август 2026</t>
        </is>
      </c>
      <c r="B46" s="39" t="inlineStr">
        <is>
          <t>Вода</t>
        </is>
      </c>
      <c r="C46" s="40" t="n">
        <v>5225</v>
      </c>
      <c r="D46" s="40" t="n">
        <v>1112</v>
      </c>
      <c r="E46" s="41" t="n"/>
      <c r="F46" s="41" t="n"/>
      <c r="G46" s="40" t="n">
        <v>222</v>
      </c>
      <c r="H46" s="40" t="n">
        <v>0</v>
      </c>
      <c r="I46" s="40" t="n">
        <v>667</v>
      </c>
      <c r="J46" s="40" t="n">
        <v>556</v>
      </c>
      <c r="K46" s="40" t="n">
        <v>444</v>
      </c>
      <c r="L46" s="42" t="n">
        <v>3001</v>
      </c>
      <c r="M46" s="42" t="n">
        <v>2224</v>
      </c>
    </row>
    <row r="48" ht="22" customHeight="1">
      <c r="A48" s="43" t="inlineStr">
        <is>
          <t>Итого свет</t>
        </is>
      </c>
      <c r="B48" s="43" t="inlineStr">
        <is>
          <t>Свет (электричество)</t>
        </is>
      </c>
      <c r="C48" s="44" t="n">
        <v>2493442</v>
      </c>
      <c r="D48" s="44" t="n">
        <v>1278357</v>
      </c>
      <c r="E48" s="44" t="n">
        <v>64990</v>
      </c>
      <c r="F48" s="44" t="n">
        <v>6986</v>
      </c>
      <c r="G48" s="44" t="n">
        <v>207696</v>
      </c>
      <c r="H48" s="44" t="n">
        <v>21391.26</v>
      </c>
      <c r="I48" s="44" t="n">
        <v>18663.85</v>
      </c>
      <c r="J48" s="44" t="n">
        <v>686483</v>
      </c>
      <c r="K48" s="44" t="n">
        <v>34059</v>
      </c>
      <c r="L48" s="44" t="n">
        <v>2318626.11</v>
      </c>
      <c r="M48" s="44" t="n">
        <v>174815.89</v>
      </c>
    </row>
    <row r="49" ht="22" customHeight="1">
      <c r="A49" s="45" t="inlineStr">
        <is>
          <t>Итого вода</t>
        </is>
      </c>
      <c r="B49" s="45" t="inlineStr">
        <is>
          <t>Вода</t>
        </is>
      </c>
      <c r="C49" s="46" t="n">
        <v>62101.36</v>
      </c>
      <c r="D49" s="46" t="n">
        <v>27376</v>
      </c>
      <c r="E49" s="46" t="n">
        <v>4112</v>
      </c>
      <c r="F49" s="46" t="n">
        <v>109</v>
      </c>
      <c r="G49" s="46" t="n">
        <v>4848</v>
      </c>
      <c r="H49" s="46" t="n">
        <v>0</v>
      </c>
      <c r="I49" s="46" t="n">
        <v>5852</v>
      </c>
      <c r="J49" s="46" t="n">
        <v>6086</v>
      </c>
      <c r="K49" s="46" t="n">
        <v>3471</v>
      </c>
      <c r="L49" s="46" t="n">
        <v>51854</v>
      </c>
      <c r="M49" s="46" t="n">
        <v>10247.36</v>
      </c>
    </row>
  </sheetData>
  <autoFilter ref="A4:M46"/>
  <mergeCells count="2">
    <mergeCell ref="A2:N2"/>
    <mergeCell ref="A1:N1"/>
  </mergeCells>
  <pageMargins left="0.45" right="0.45" top="0.55" bottom="0.5" header="0.5" footer="0.5"/>
  <pageSetup orientation="landscape" paperSize="9" fitToHeight="1" fitToWidth="1"/>
  <headerFooter>
    <oddHeader>&amp;LКостюкова · расшифровка арендаторов</oddHeader>
    <oddFooter>&amp;LПустая ячейка — арендатора в месяце не было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B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30" t="inlineStr">
        <is>
          <t>Как собран перерасход</t>
        </is>
      </c>
    </row>
    <row r="4" ht="48" customHeight="1">
      <c r="B4" s="47" t="inlineStr">
        <is>
          <t>Источник — лист «Костюкова расчет» в файле «май Коммуналка 2026.xlsx».</t>
        </is>
      </c>
    </row>
    <row r="5" ht="48" customHeight="1">
      <c r="B5" s="47" t="inlineStr">
        <is>
          <t>На листе каждый месяц — отдельный блок. В нём три ресурса: тепло, свет и вода. Строка «Свет» — это электричество в рублях. Отдельной строки «Электричество» в месячных блоках нет: наверху листа так названы показания счётчиков (кВт·ч), а в оплате тот же ресурс называется «Свет».</t>
        </is>
      </c>
    </row>
    <row r="6" ht="48" customHeight="1">
      <c r="B6" s="47" t="inlineStr">
        <is>
          <t>Общий расход — колонка «Оплата». Арендаторы — колонки слева от «Не возмещаемое»: Сбер, Аркарго, Кофе, Люкс, Клиника, Водомат, Чижик, Пирожки. Состав колонок меняется от месяца к месяцу.</t>
        </is>
      </c>
    </row>
    <row r="7" ht="48" customHeight="1">
      <c r="B7" s="47" t="inlineStr">
        <is>
          <t>Перерасход = общий расход − сумма арендаторов. В исходнике это колонка «Не возмещаемое». Сверка сошлась по всем 21 месяцам и по обоим ресурсам.</t>
        </is>
      </c>
    </row>
    <row r="8" ht="48" customHeight="1">
      <c r="B8" s="47" t="inlineStr">
        <is>
          <t>Берлизов А. и Хрисанов А. стоят справа от «Не возмещаемое». Это не арендаторы: их суммы — половина и четверть невозмещаемого долга плюс 6% от оплаты арендаторов. В перерасход они не вычитаются второй раз.</t>
        </is>
      </c>
    </row>
    <row r="9" ht="48" customHeight="1">
      <c r="B9" s="47" t="inlineStr">
        <is>
          <t>Плюс означает, что общий счёт больше того, что разнесли на арендаторов. Минус означает, что на арендаторов разнесли больше, чем общий счёт.</t>
        </is>
      </c>
    </row>
    <row r="10" ht="48" customHeight="1">
      <c r="B10" s="47" t="inlineStr">
        <is>
          <t>Первый блок на листе подписан «Декабрь» без года. Показания счётчиков начинаются с ноября 2024, блоки идут подряд 21 месяц и заканчиваются августом. Поэтому первый декабрь принят за декабрь 2024, последний август — за август 2026.</t>
        </is>
      </c>
    </row>
    <row r="11" ht="48" customHeight="1">
      <c r="B11" s="47" t="inlineStr">
        <is>
          <t>Тепло посчитано на исходном листе, в эту сводку не включено.</t>
        </is>
      </c>
    </row>
  </sheetData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Расчёт по листу Костюкова расчет</dc:creator>
  <dc:title>Костюкова. Перерасход по месяцам</dc:title>
  <dc:subject>Свет (электричество) и вода: общий расход минус арендаторы</dc:subject>
  <dcterms:created xsi:type="dcterms:W3CDTF">2026-09-25T11:30:25Z</dcterms:created>
  <dcterms:modified xsi:type="dcterms:W3CDTF">2026-09-25T11:32:01Z</dcterms:modified>
</cp:coreProperties>
</file>